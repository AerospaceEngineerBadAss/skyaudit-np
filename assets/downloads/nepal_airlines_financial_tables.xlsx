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ynologyDrive\10_alexey\01_workFiles\Nepal Airlines\Nepali Airlines\"/>
    </mc:Choice>
  </mc:AlternateContent>
  <xr:revisionPtr revIDLastSave="0" documentId="13_ncr:1_{73773094-DC26-4CE2-85C5-39AE0541D03A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Financial_Position" sheetId="1" r:id="rId1"/>
    <sheet name="Profit_Loss" sheetId="2" r:id="rId2"/>
    <sheet name="Comprehensive_Income" sheetId="3" r:id="rId3"/>
    <sheet name="Changes_Equity_PY" sheetId="4" r:id="rId4"/>
    <sheet name="Changes_Equity_CY" sheetId="5" r:id="rId5"/>
    <sheet name="Cash_Flow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4" l="1"/>
  <c r="J17" i="4"/>
  <c r="J18" i="4"/>
  <c r="J19" i="4"/>
  <c r="J20" i="4"/>
  <c r="J21" i="4"/>
  <c r="J15" i="4"/>
  <c r="J18" i="5"/>
  <c r="J21" i="5" s="1"/>
  <c r="B48" i="6"/>
  <c r="C8" i="6"/>
  <c r="C7" i="3"/>
  <c r="B8" i="6"/>
  <c r="B7" i="3"/>
  <c r="B27" i="3" s="1"/>
  <c r="C39" i="6"/>
  <c r="B39" i="6"/>
  <c r="C46" i="6"/>
  <c r="B46" i="6"/>
  <c r="C11" i="6"/>
  <c r="C19" i="6" s="1"/>
  <c r="C29" i="6" s="1"/>
  <c r="C31" i="6" s="1"/>
  <c r="B11" i="6"/>
  <c r="B19" i="6" s="1"/>
  <c r="B29" i="6" s="1"/>
  <c r="B31" i="6" s="1"/>
  <c r="I21" i="5"/>
  <c r="I31" i="5" s="1"/>
  <c r="H21" i="5"/>
  <c r="G21" i="5"/>
  <c r="F21" i="5"/>
  <c r="E21" i="5"/>
  <c r="J13" i="5"/>
  <c r="J9" i="5"/>
  <c r="J10" i="5"/>
  <c r="J8" i="5"/>
  <c r="H11" i="5"/>
  <c r="G11" i="5"/>
  <c r="F11" i="5"/>
  <c r="E11" i="5"/>
  <c r="D11" i="5"/>
  <c r="D31" i="5" s="1"/>
  <c r="C11" i="5"/>
  <c r="C31" i="5" s="1"/>
  <c r="B11" i="5"/>
  <c r="B31" i="5" s="1"/>
  <c r="C32" i="4"/>
  <c r="I22" i="4"/>
  <c r="J22" i="4"/>
  <c r="H22" i="4"/>
  <c r="G22" i="4"/>
  <c r="F22" i="4"/>
  <c r="E22" i="4"/>
  <c r="J8" i="4"/>
  <c r="H9" i="4"/>
  <c r="J9" i="4" s="1"/>
  <c r="H8" i="4"/>
  <c r="I11" i="4"/>
  <c r="G11" i="4"/>
  <c r="C11" i="4"/>
  <c r="D11" i="4"/>
  <c r="D32" i="4" s="1"/>
  <c r="E11" i="4"/>
  <c r="F11" i="4"/>
  <c r="B11" i="4"/>
  <c r="C27" i="3"/>
  <c r="C26" i="3"/>
  <c r="B26" i="3"/>
  <c r="C44" i="1"/>
  <c r="D44" i="1"/>
  <c r="B44" i="1"/>
  <c r="C37" i="1"/>
  <c r="C45" i="1" s="1"/>
  <c r="D37" i="1"/>
  <c r="D45" i="1" s="1"/>
  <c r="B37" i="1"/>
  <c r="B45" i="1" s="1"/>
  <c r="C30" i="1"/>
  <c r="D30" i="1"/>
  <c r="B30" i="1"/>
  <c r="C23" i="1"/>
  <c r="D23" i="1"/>
  <c r="B23" i="1"/>
  <c r="C15" i="1"/>
  <c r="C24" i="1" s="1"/>
  <c r="D15" i="1"/>
  <c r="D24" i="1" s="1"/>
  <c r="B15" i="1"/>
  <c r="B24" i="1" s="1"/>
  <c r="B28" i="2"/>
  <c r="B34" i="2" s="1"/>
  <c r="C25" i="2"/>
  <c r="C28" i="2" s="1"/>
  <c r="C34" i="2" s="1"/>
  <c r="B25" i="2"/>
  <c r="C17" i="2"/>
  <c r="B17" i="2"/>
  <c r="C15" i="2"/>
  <c r="B15" i="2"/>
  <c r="C9" i="2"/>
  <c r="B9" i="2"/>
  <c r="B50" i="6" l="1"/>
  <c r="C48" i="6"/>
  <c r="C50" i="6" s="1"/>
  <c r="H31" i="5"/>
  <c r="G31" i="5"/>
  <c r="F31" i="5"/>
  <c r="E31" i="5"/>
  <c r="J11" i="5"/>
  <c r="J31" i="5" s="1"/>
  <c r="I32" i="4"/>
  <c r="G32" i="4"/>
  <c r="F32" i="4"/>
  <c r="E32" i="4"/>
  <c r="J11" i="4"/>
  <c r="J32" i="4" s="1"/>
  <c r="H11" i="4"/>
  <c r="H32" i="4" s="1"/>
  <c r="B32" i="4"/>
</calcChain>
</file>

<file path=xl/sharedStrings.xml><?xml version="1.0" encoding="utf-8"?>
<sst xmlns="http://schemas.openxmlformats.org/spreadsheetml/2006/main" count="230" uniqueCount="162">
  <si>
    <t>Nepal Airlines Company</t>
  </si>
  <si>
    <t>Statement of Financial Position</t>
  </si>
  <si>
    <t>As on Ashadh 31, 2080 (As on July 16, 2023)</t>
  </si>
  <si>
    <t>Source duplicated from uploaded PDF: nepal_airlines_financial_statements_2079_80.pdf</t>
  </si>
  <si>
    <t>Particulars</t>
  </si>
  <si>
    <t>Current Year</t>
  </si>
  <si>
    <t>Previous Year</t>
  </si>
  <si>
    <t>Restated Year</t>
  </si>
  <si>
    <t>Non-current assets</t>
  </si>
  <si>
    <t>Property, Plant and Equipment</t>
  </si>
  <si>
    <t>Intangible Assets</t>
  </si>
  <si>
    <t>Investment in Associates</t>
  </si>
  <si>
    <t>Financial Investments</t>
  </si>
  <si>
    <t>Deferred Tax Assets</t>
  </si>
  <si>
    <t>Non-Current Assets Held for Sale</t>
  </si>
  <si>
    <t>Total Non-current assets</t>
  </si>
  <si>
    <t>Current assets</t>
  </si>
  <si>
    <t>Cash and Cash Equivalents</t>
  </si>
  <si>
    <t>Trade Receivables</t>
  </si>
  <si>
    <t>Inventories</t>
  </si>
  <si>
    <t>Advances and Deposits</t>
  </si>
  <si>
    <t>Current Tax Assets</t>
  </si>
  <si>
    <t>Other Current Assets</t>
  </si>
  <si>
    <t>Total Current Assets</t>
  </si>
  <si>
    <t>Shareholders' equity</t>
  </si>
  <si>
    <t>Share Capital</t>
  </si>
  <si>
    <t>Other Equity</t>
  </si>
  <si>
    <t>Other Reserves</t>
  </si>
  <si>
    <t>Total Equity</t>
  </si>
  <si>
    <t>Non-current liabilities</t>
  </si>
  <si>
    <t>Borrowings</t>
  </si>
  <si>
    <t>Deferred Tax Liabilities</t>
  </si>
  <si>
    <t>Provisions</t>
  </si>
  <si>
    <t>Derivative Financial Instruments</t>
  </si>
  <si>
    <t>Other Non-Current Liabilities</t>
  </si>
  <si>
    <t>Total Non-Current Liabilities</t>
  </si>
  <si>
    <t>Current Liabilities</t>
  </si>
  <si>
    <t>Short Term Borrowings</t>
  </si>
  <si>
    <t>Trade and Other Payables</t>
  </si>
  <si>
    <t>Deferred Revenue</t>
  </si>
  <si>
    <t>Current Tax Liabilities</t>
  </si>
  <si>
    <t>Total Current Liabilities</t>
  </si>
  <si>
    <t>Total Equity and Liabilities</t>
  </si>
  <si>
    <t>Statement of Profit or Loss</t>
  </si>
  <si>
    <t>Revenue from Operation</t>
  </si>
  <si>
    <t>Cost of Sales</t>
  </si>
  <si>
    <t>Total Revenue From Operations</t>
  </si>
  <si>
    <t>Administration and General Expenses</t>
  </si>
  <si>
    <t>Employee costs</t>
  </si>
  <si>
    <t>Depreciation and Amortisation</t>
  </si>
  <si>
    <t>Other Operating Expenses</t>
  </si>
  <si>
    <t>Total expenditure on operations before exceptional items</t>
  </si>
  <si>
    <t>Operating Profit/(Loss)</t>
  </si>
  <si>
    <t>Share of Income from JV/Associates</t>
  </si>
  <si>
    <t>Net Gain/(Loss) on Fair Value Changes</t>
  </si>
  <si>
    <t>Non-Operating Income/Expenses</t>
  </si>
  <si>
    <t>Finance Income</t>
  </si>
  <si>
    <t>Finance Expense</t>
  </si>
  <si>
    <t>Foreign Currency Gains/(Losses)</t>
  </si>
  <si>
    <t>Profit/(Loss) before Impairment</t>
  </si>
  <si>
    <t>Impairment (Losses)/Reversal</t>
  </si>
  <si>
    <t>Profit/(Loss) before Tax</t>
  </si>
  <si>
    <t>Current Tax Income/(Expense)</t>
  </si>
  <si>
    <t>Deferred Tax Income/(Expense)</t>
  </si>
  <si>
    <t>Others (Tax Expense)</t>
  </si>
  <si>
    <t>Profit/(Loss) after Tax</t>
  </si>
  <si>
    <t>Statement of Other Comprehensive Income</t>
  </si>
  <si>
    <t>Net Profit/(Loss) For The Year</t>
  </si>
  <si>
    <t>Other Comprehensive Income</t>
  </si>
  <si>
    <t>a) Items that are or may be Reclassified to Profit or Loss</t>
  </si>
  <si>
    <t>Changes in Fair Value of FVOCI Debt Instruments</t>
  </si>
  <si>
    <t>Cash Flow Hedge - Effective Portion of Changes in Fair Value</t>
  </si>
  <si>
    <t>Exchange differences on translation of Foreign Operation</t>
  </si>
  <si>
    <t>Income Tax Relating to Above Items</t>
  </si>
  <si>
    <t>Reclassified to Profit or Loss</t>
  </si>
  <si>
    <t>b) Items that will not be Reclassified to Profit or Loss</t>
  </si>
  <si>
    <t>Changes in fair value of FVOCI Equity Instruments</t>
  </si>
  <si>
    <t>Revaluation of Property, Plant and Equipment/ Intangible Assets</t>
  </si>
  <si>
    <t>Remeasurement of Post-Employment Benefit Obligations</t>
  </si>
  <si>
    <t>Share of other comprehensive income of associates accounted for using the equity method</t>
  </si>
  <si>
    <t>c) Share of other comprehensive income of associates accounted for using the equity method</t>
  </si>
  <si>
    <t>Total Other Comprehensive Income For the Year, Net of Tax</t>
  </si>
  <si>
    <t>Total Comprehensive Income For the Year, Net of Tax</t>
  </si>
  <si>
    <t>Statement of Changes in Equity</t>
  </si>
  <si>
    <t>Revaluation Reserve</t>
  </si>
  <si>
    <t>Fair value Reserve</t>
  </si>
  <si>
    <t>Total</t>
  </si>
  <si>
    <t>Non-Controlling Interest</t>
  </si>
  <si>
    <t>Balance at Shrawan 01, 2078</t>
  </si>
  <si>
    <t>Prior Period Adjustment Carried from GAAP SOCE</t>
  </si>
  <si>
    <t>Share Allotment Suspense</t>
  </si>
  <si>
    <t>Adjustment/Restated Balance as at Shrawan 01, 2078</t>
  </si>
  <si>
    <t>Comprehensive Income for the year</t>
  </si>
  <si>
    <t>Profit for the year</t>
  </si>
  <si>
    <t>Other Comprehensive Income, Net of Tax</t>
  </si>
  <si>
    <t>Gains/(losses) from investment in equity instruments measured at fair value</t>
  </si>
  <si>
    <t>Gains/(losses) on revaluation</t>
  </si>
  <si>
    <t>Gains/(losses) due to equity method</t>
  </si>
  <si>
    <t>Actuarial gains/(losses) on defined benefit plans</t>
  </si>
  <si>
    <t>Share of profit of investment in associates</t>
  </si>
  <si>
    <t>Gains/(losses) on cash flow hedge</t>
  </si>
  <si>
    <t>Exchange gains/(losses)(arising from translating financial assets of foreign operation)</t>
  </si>
  <si>
    <t>Total Comprehensive Income for the year</t>
  </si>
  <si>
    <t>Transfer to Reserves during the year</t>
  </si>
  <si>
    <t>Transfer from Reserves during the year</t>
  </si>
  <si>
    <t>Transactions with Owners, directly recognized in Equity</t>
  </si>
  <si>
    <t>Addition in share capital</t>
  </si>
  <si>
    <t>Prior Period Items</t>
  </si>
  <si>
    <t>Bonus Share</t>
  </si>
  <si>
    <t>Cash Dividend</t>
  </si>
  <si>
    <t>Total Contributions by and Distributions</t>
  </si>
  <si>
    <t>Balance at Asar 32, 2079</t>
  </si>
  <si>
    <t>Balance at Shrawan 01, 2079</t>
  </si>
  <si>
    <t>Adjustment/Restated Balance as at Shrawan 01, 2079</t>
  </si>
  <si>
    <t>Balance at Asar 32, 2080</t>
  </si>
  <si>
    <t>Statement of Cash Flows</t>
  </si>
  <si>
    <t>OPERATING ACTIVITIES</t>
  </si>
  <si>
    <t>Net Profit/(Loss) After Tax</t>
  </si>
  <si>
    <t>Prior Period Adjustment</t>
  </si>
  <si>
    <t>Add: Deferred Tax Expense</t>
  </si>
  <si>
    <t>Net Profit/(Loss) Before Tax</t>
  </si>
  <si>
    <t>Adjustments for</t>
  </si>
  <si>
    <t>Depreciation</t>
  </si>
  <si>
    <t>Share of Income From JV/Associates</t>
  </si>
  <si>
    <t>Change in Foreign Currency Time Deposit</t>
  </si>
  <si>
    <t>Operating Profit/(Loss) Before Working Capital Changes</t>
  </si>
  <si>
    <t>Adjustment for Working Capital Changes</t>
  </si>
  <si>
    <t>Changes in Trade Receivable</t>
  </si>
  <si>
    <t>Changes in Inventories</t>
  </si>
  <si>
    <t>Changes in Advances and Deposits</t>
  </si>
  <si>
    <t>Changes in Other Assets</t>
  </si>
  <si>
    <t>Changes in Trade and Other Payable</t>
  </si>
  <si>
    <t>Changes in Provision</t>
  </si>
  <si>
    <t>Change in Advance Tax Asset</t>
  </si>
  <si>
    <t>Less: Income Tax Paid</t>
  </si>
  <si>
    <t>INVESTING ACTIVITIES</t>
  </si>
  <si>
    <t>Addition to Property Plant and Equipment</t>
  </si>
  <si>
    <t>Disposal of Property Plant and Equipment</t>
  </si>
  <si>
    <t>Purchase of Intangible Asset</t>
  </si>
  <si>
    <t>FINANCING ACTIVITIES</t>
  </si>
  <si>
    <t>Finance Cost Paid</t>
  </si>
  <si>
    <t>Repayment of Principal Portion of Borrowings</t>
  </si>
  <si>
    <t>Repayment of Principal Portion of short term Borrowings</t>
  </si>
  <si>
    <t>Payment of Principal Portion of Lease Liability</t>
  </si>
  <si>
    <t>NET INCREASE/(DECREASE) IN CASH AND CASH EQUIVALENTS</t>
  </si>
  <si>
    <t>Cash and Cash Equivalents at the beginning of the year</t>
  </si>
  <si>
    <t>CASH AND CASH EQUIVALENT AT YEAR END</t>
  </si>
  <si>
    <t>As on Ashadh 32, 2079</t>
  </si>
  <si>
    <t>Income Tax Expenses</t>
  </si>
  <si>
    <t>Total Assets</t>
  </si>
  <si>
    <t>Retained Earnings</t>
  </si>
  <si>
    <t>Actuarial Reserve</t>
  </si>
  <si>
    <t>Changes in Deferred Revenue Liabilities</t>
  </si>
  <si>
    <t>Cash Flow From Operating Activities Before Tax</t>
  </si>
  <si>
    <t>Cash Flow From Operating Activities</t>
  </si>
  <si>
    <t>Cash Flow From Investing Activities</t>
  </si>
  <si>
    <t>Cash Flow From Financing Activities</t>
  </si>
  <si>
    <t>As on Ashadh 31, 2080</t>
  </si>
  <si>
    <t>As on 31 Ashadh 2080 (As on 16 July 2023)</t>
  </si>
  <si>
    <t>As on 31 Ashadh 2080 (As on July 16, 2023)</t>
  </si>
  <si>
    <t>For the year ended 31 Ashadh 2080 (For the year ended 16 July 2023)</t>
  </si>
  <si>
    <t>As on Ashadh 31, 2078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</si>
</sst>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;\-"/>
  </numFmts>
  <fonts count="6" x14ac:knownFonts="1">
    <font>
      <sz val="11"/>
      <name val="Carlito"/>
    </font>
    <font>
      <b/>
      <sz val="13"/>
      <name val="Carlito"/>
    </font>
    <font>
      <b/>
      <sz val="11"/>
      <name val="Carlito"/>
    </font>
    <font>
      <i/>
      <sz val="9"/>
      <color rgb="FF666666"/>
      <name val="Carlito"/>
    </font>
    <font>
      <b/>
      <sz val="11"/>
      <color rgb="FFFFFFFF"/>
      <name val="Carlito"/>
    </font>
    <font>
      <b/>
      <sz val="11"/>
      <name val="Carlito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2" borderId="0" xfId="0" applyFont="1" applyFill="1" applyAlignment="1">
      <alignment horizont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2" fillId="3" borderId="0" xfId="0" applyFont="1" applyFill="1" applyAlignment="1">
      <alignment wrapText="1"/>
    </xf>
    <xf numFmtId="164" fontId="2" fillId="3" borderId="0" xfId="0" applyNumberFormat="1" applyFont="1" applyFill="1"/>
    <xf numFmtId="0" fontId="2" fillId="4" borderId="0" xfId="0" applyFont="1" applyFill="1" applyAlignment="1">
      <alignment wrapText="1"/>
    </xf>
    <xf numFmtId="164" fontId="2" fillId="4" borderId="0" xfId="0" applyNumberFormat="1" applyFont="1" applyFill="1"/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Fill="1" applyAlignment="1">
      <alignment wrapText="1"/>
    </xf>
    <xf numFmtId="164" fontId="2" fillId="0" borderId="0" xfId="0" applyNumberFormat="1" applyFont="1" applyFill="1"/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topLeftCell="A9" workbookViewId="0">
      <selection activeCell="B15" sqref="B15"/>
    </sheetView>
  </sheetViews>
  <sheetFormatPr defaultRowHeight="15" x14ac:dyDescent="0.25"/>
  <cols>
    <col min="1" max="1" width="42" customWidth="1"/>
    <col min="2" max="2" width="20.75" customWidth="1"/>
    <col min="3" max="3" width="19.375" customWidth="1"/>
    <col min="4" max="4" width="19.75" customWidth="1"/>
    <col min="5" max="5" width="13.75" bestFit="1" customWidth="1"/>
    <col min="6" max="7" width="13.5" bestFit="1" customWidth="1"/>
  </cols>
  <sheetData>
    <row r="1" spans="1:7" ht="20.100000000000001" customHeight="1" x14ac:dyDescent="0.3">
      <c r="A1" s="8" t="s">
        <v>0</v>
      </c>
      <c r="B1" s="9"/>
      <c r="C1" s="9"/>
      <c r="D1" s="9"/>
    </row>
    <row r="2" spans="1:7" x14ac:dyDescent="0.25">
      <c r="A2" s="10" t="s">
        <v>1</v>
      </c>
      <c r="B2" s="9"/>
      <c r="C2" s="9"/>
      <c r="D2" s="9"/>
    </row>
    <row r="3" spans="1:7" x14ac:dyDescent="0.25">
      <c r="A3" s="10" t="s">
        <v>2</v>
      </c>
      <c r="B3" s="9"/>
      <c r="C3" s="9"/>
      <c r="D3" s="9"/>
    </row>
    <row r="4" spans="1:7" x14ac:dyDescent="0.25">
      <c r="A4" s="11" t="s">
        <v>3</v>
      </c>
      <c r="B4" s="9"/>
      <c r="C4" s="9"/>
      <c r="D4" s="9"/>
    </row>
    <row r="6" spans="1:7" x14ac:dyDescent="0.25">
      <c r="A6" s="1" t="s">
        <v>4</v>
      </c>
      <c r="B6" s="1" t="s">
        <v>5</v>
      </c>
      <c r="C6" s="1" t="s">
        <v>6</v>
      </c>
      <c r="D6" s="1" t="s">
        <v>7</v>
      </c>
    </row>
    <row r="7" spans="1:7" x14ac:dyDescent="0.25">
      <c r="A7" s="1"/>
      <c r="B7" s="1" t="s">
        <v>157</v>
      </c>
      <c r="C7" s="1" t="s">
        <v>147</v>
      </c>
      <c r="D7" s="1" t="s">
        <v>161</v>
      </c>
    </row>
    <row r="8" spans="1:7" x14ac:dyDescent="0.25">
      <c r="A8" s="4" t="s">
        <v>8</v>
      </c>
      <c r="B8" s="5"/>
      <c r="C8" s="5"/>
      <c r="D8" s="5"/>
    </row>
    <row r="9" spans="1:7" x14ac:dyDescent="0.25">
      <c r="A9" s="2" t="s">
        <v>9</v>
      </c>
      <c r="B9" s="3">
        <v>36614662910</v>
      </c>
      <c r="C9" s="3">
        <v>38308356039</v>
      </c>
      <c r="D9" s="3">
        <v>40210623308</v>
      </c>
    </row>
    <row r="10" spans="1:7" x14ac:dyDescent="0.25">
      <c r="A10" s="2" t="s">
        <v>10</v>
      </c>
      <c r="B10" s="3">
        <v>33351755</v>
      </c>
      <c r="C10" s="3">
        <v>42115895</v>
      </c>
      <c r="D10" s="3">
        <v>0</v>
      </c>
    </row>
    <row r="11" spans="1:7" x14ac:dyDescent="0.25">
      <c r="A11" s="2" t="s">
        <v>11</v>
      </c>
      <c r="B11" s="3">
        <v>264246202</v>
      </c>
      <c r="C11" s="3">
        <v>220379590</v>
      </c>
      <c r="D11" s="3">
        <v>183161402</v>
      </c>
    </row>
    <row r="12" spans="1:7" x14ac:dyDescent="0.25">
      <c r="A12" s="2" t="s">
        <v>12</v>
      </c>
      <c r="B12" s="3">
        <v>262509380</v>
      </c>
      <c r="C12" s="3">
        <v>255189380</v>
      </c>
      <c r="D12" s="3">
        <v>238249380</v>
      </c>
    </row>
    <row r="13" spans="1:7" x14ac:dyDescent="0.25">
      <c r="A13" s="2" t="s">
        <v>13</v>
      </c>
      <c r="B13" s="3">
        <v>3563306644</v>
      </c>
      <c r="C13" s="3">
        <v>3119591133</v>
      </c>
      <c r="D13" s="3">
        <v>3600473134</v>
      </c>
    </row>
    <row r="14" spans="1:7" x14ac:dyDescent="0.25">
      <c r="A14" s="2" t="s">
        <v>14</v>
      </c>
      <c r="B14" s="3">
        <v>-1</v>
      </c>
      <c r="C14" s="3">
        <v>-2</v>
      </c>
      <c r="D14" s="3">
        <v>1</v>
      </c>
    </row>
    <row r="15" spans="1:7" x14ac:dyDescent="0.25">
      <c r="A15" s="6" t="s">
        <v>15</v>
      </c>
      <c r="B15" s="7">
        <f>SUM(B9:B14)</f>
        <v>40738076890</v>
      </c>
      <c r="C15" s="7">
        <f t="shared" ref="C15:D15" si="0">SUM(C9:C14)</f>
        <v>41945632035</v>
      </c>
      <c r="D15" s="7">
        <f t="shared" si="0"/>
        <v>44232507225</v>
      </c>
      <c r="E15" s="3"/>
      <c r="F15" s="3"/>
      <c r="G15" s="3"/>
    </row>
    <row r="16" spans="1:7" x14ac:dyDescent="0.25">
      <c r="A16" s="4" t="s">
        <v>16</v>
      </c>
      <c r="B16" s="5"/>
      <c r="C16" s="5"/>
      <c r="D16" s="5"/>
    </row>
    <row r="17" spans="1:7" x14ac:dyDescent="0.25">
      <c r="A17" s="2" t="s">
        <v>17</v>
      </c>
      <c r="B17" s="3">
        <v>1678776021</v>
      </c>
      <c r="C17" s="3">
        <v>887452254</v>
      </c>
      <c r="D17" s="3">
        <v>553395587</v>
      </c>
    </row>
    <row r="18" spans="1:7" x14ac:dyDescent="0.25">
      <c r="A18" s="2" t="s">
        <v>18</v>
      </c>
      <c r="B18" s="3">
        <v>1227762999</v>
      </c>
      <c r="C18" s="3">
        <v>1602578274</v>
      </c>
      <c r="D18" s="3">
        <v>649682191</v>
      </c>
    </row>
    <row r="19" spans="1:7" x14ac:dyDescent="0.25">
      <c r="A19" s="2" t="s">
        <v>19</v>
      </c>
      <c r="B19" s="3">
        <v>3990159184</v>
      </c>
      <c r="C19" s="3">
        <v>3752436318</v>
      </c>
      <c r="D19" s="3">
        <v>3582397066</v>
      </c>
    </row>
    <row r="20" spans="1:7" x14ac:dyDescent="0.25">
      <c r="A20" s="2" t="s">
        <v>20</v>
      </c>
      <c r="B20" s="3">
        <v>2682979079</v>
      </c>
      <c r="C20" s="3">
        <v>1584873104</v>
      </c>
      <c r="D20" s="3">
        <v>1324878735</v>
      </c>
    </row>
    <row r="21" spans="1:7" x14ac:dyDescent="0.25">
      <c r="A21" s="2" t="s">
        <v>21</v>
      </c>
      <c r="B21" s="3">
        <v>319481723</v>
      </c>
      <c r="C21" s="3">
        <v>264919101</v>
      </c>
      <c r="D21" s="3">
        <v>290025932</v>
      </c>
    </row>
    <row r="22" spans="1:7" x14ac:dyDescent="0.25">
      <c r="A22" s="2" t="s">
        <v>22</v>
      </c>
      <c r="B22" s="3">
        <v>128588805</v>
      </c>
      <c r="C22" s="3">
        <v>103407595</v>
      </c>
      <c r="D22" s="3">
        <v>94869156</v>
      </c>
    </row>
    <row r="23" spans="1:7" x14ac:dyDescent="0.25">
      <c r="A23" s="6" t="s">
        <v>23</v>
      </c>
      <c r="B23" s="7">
        <f>SUM(B17:B22)</f>
        <v>10027747811</v>
      </c>
      <c r="C23" s="7">
        <f t="shared" ref="C23:D23" si="1">SUM(C17:C22)</f>
        <v>8195666646</v>
      </c>
      <c r="D23" s="7">
        <f t="shared" si="1"/>
        <v>6495248667</v>
      </c>
      <c r="E23" s="3"/>
      <c r="F23" s="3"/>
      <c r="G23" s="3"/>
    </row>
    <row r="24" spans="1:7" x14ac:dyDescent="0.25">
      <c r="A24" s="6" t="s">
        <v>149</v>
      </c>
      <c r="B24" s="7">
        <f>SUM(B15,B23)</f>
        <v>50765824701</v>
      </c>
      <c r="C24" s="7">
        <f t="shared" ref="C24:D24" si="2">SUM(C15,C23)</f>
        <v>50141298681</v>
      </c>
      <c r="D24" s="7">
        <f t="shared" si="2"/>
        <v>50727755892</v>
      </c>
      <c r="E24" s="3"/>
      <c r="F24" s="3"/>
      <c r="G24" s="3"/>
    </row>
    <row r="25" spans="1:7" x14ac:dyDescent="0.25">
      <c r="A25" s="4" t="s">
        <v>24</v>
      </c>
      <c r="B25" s="5"/>
      <c r="C25" s="5"/>
      <c r="D25" s="5"/>
    </row>
    <row r="26" spans="1:7" x14ac:dyDescent="0.25">
      <c r="A26" s="2" t="s">
        <v>25</v>
      </c>
      <c r="B26" s="3">
        <v>162283911</v>
      </c>
      <c r="C26" s="3">
        <v>162283911</v>
      </c>
      <c r="D26" s="3">
        <v>162283911</v>
      </c>
    </row>
    <row r="27" spans="1:7" x14ac:dyDescent="0.25">
      <c r="A27" s="2" t="s">
        <v>26</v>
      </c>
      <c r="B27" s="3">
        <v>2941553188</v>
      </c>
      <c r="C27" s="3">
        <v>2941553188</v>
      </c>
      <c r="D27" s="3">
        <v>2941553188</v>
      </c>
    </row>
    <row r="28" spans="1:7" x14ac:dyDescent="0.25">
      <c r="A28" s="2" t="s">
        <v>150</v>
      </c>
      <c r="B28" s="3">
        <v>-15623721334</v>
      </c>
      <c r="C28" s="3">
        <v>-15181482407</v>
      </c>
      <c r="D28" s="3">
        <v>-13108058860</v>
      </c>
    </row>
    <row r="29" spans="1:7" x14ac:dyDescent="0.25">
      <c r="A29" s="2" t="s">
        <v>27</v>
      </c>
      <c r="B29" s="3">
        <v>8040235636</v>
      </c>
      <c r="C29" s="3">
        <v>8293176118</v>
      </c>
      <c r="D29" s="3">
        <v>8147647250</v>
      </c>
    </row>
    <row r="30" spans="1:7" x14ac:dyDescent="0.25">
      <c r="A30" s="6" t="s">
        <v>28</v>
      </c>
      <c r="B30" s="7">
        <f>SUM(B26:B29)</f>
        <v>-4479648599</v>
      </c>
      <c r="C30" s="7">
        <f t="shared" ref="C30:D30" si="3">SUM(C26:C29)</f>
        <v>-3784469190</v>
      </c>
      <c r="D30" s="7">
        <f t="shared" si="3"/>
        <v>-1856574511</v>
      </c>
      <c r="E30" s="3"/>
      <c r="F30" s="3"/>
      <c r="G30" s="3"/>
    </row>
    <row r="31" spans="1:7" x14ac:dyDescent="0.25">
      <c r="A31" s="4" t="s">
        <v>29</v>
      </c>
      <c r="B31" s="5"/>
      <c r="C31" s="5"/>
      <c r="D31" s="5"/>
    </row>
    <row r="32" spans="1:7" x14ac:dyDescent="0.25">
      <c r="A32" s="2" t="s">
        <v>30</v>
      </c>
      <c r="B32" s="3">
        <v>35706891957</v>
      </c>
      <c r="C32" s="3">
        <v>36061237324</v>
      </c>
      <c r="D32" s="3">
        <v>36931755376</v>
      </c>
    </row>
    <row r="33" spans="1:7" x14ac:dyDescent="0.25">
      <c r="A33" s="2" t="s">
        <v>31</v>
      </c>
      <c r="B33" s="3">
        <v>0</v>
      </c>
      <c r="C33" s="3">
        <v>0</v>
      </c>
      <c r="D33" s="3">
        <v>0</v>
      </c>
    </row>
    <row r="34" spans="1:7" x14ac:dyDescent="0.25">
      <c r="A34" s="2" t="s">
        <v>32</v>
      </c>
      <c r="B34" s="3">
        <v>2702402785</v>
      </c>
      <c r="C34" s="3">
        <v>2448951561</v>
      </c>
      <c r="D34" s="3">
        <v>2744468154</v>
      </c>
    </row>
    <row r="35" spans="1:7" x14ac:dyDescent="0.25">
      <c r="A35" s="2" t="s">
        <v>33</v>
      </c>
      <c r="B35" s="3">
        <v>0</v>
      </c>
      <c r="C35" s="3">
        <v>0</v>
      </c>
      <c r="D35" s="3">
        <v>0</v>
      </c>
    </row>
    <row r="36" spans="1:7" x14ac:dyDescent="0.25">
      <c r="A36" s="2" t="s">
        <v>34</v>
      </c>
      <c r="B36" s="3">
        <v>0</v>
      </c>
      <c r="C36" s="3">
        <v>205370</v>
      </c>
      <c r="D36" s="3">
        <v>2553755</v>
      </c>
    </row>
    <row r="37" spans="1:7" x14ac:dyDescent="0.25">
      <c r="A37" s="6" t="s">
        <v>35</v>
      </c>
      <c r="B37" s="7">
        <f>SUM(B32:B36)</f>
        <v>38409294742</v>
      </c>
      <c r="C37" s="7">
        <f t="shared" ref="C37:D37" si="4">SUM(C32:C36)</f>
        <v>38510394255</v>
      </c>
      <c r="D37" s="7">
        <f t="shared" si="4"/>
        <v>39678777285</v>
      </c>
      <c r="E37" s="3"/>
      <c r="F37" s="3"/>
      <c r="G37" s="3"/>
    </row>
    <row r="38" spans="1:7" x14ac:dyDescent="0.25">
      <c r="A38" s="4" t="s">
        <v>36</v>
      </c>
      <c r="B38" s="5"/>
      <c r="C38" s="5"/>
      <c r="D38" s="5"/>
    </row>
    <row r="39" spans="1:7" x14ac:dyDescent="0.25">
      <c r="A39" s="2" t="s">
        <v>37</v>
      </c>
      <c r="B39" s="3">
        <v>12983688068</v>
      </c>
      <c r="C39" s="3">
        <v>11737483580</v>
      </c>
      <c r="D39" s="3">
        <v>10452258057</v>
      </c>
    </row>
    <row r="40" spans="1:7" x14ac:dyDescent="0.25">
      <c r="A40" s="2" t="s">
        <v>38</v>
      </c>
      <c r="B40" s="3">
        <v>2283395782</v>
      </c>
      <c r="C40" s="3">
        <v>1864755006</v>
      </c>
      <c r="D40" s="3">
        <v>1548667046</v>
      </c>
    </row>
    <row r="41" spans="1:7" x14ac:dyDescent="0.25">
      <c r="A41" s="2" t="s">
        <v>39</v>
      </c>
      <c r="B41" s="3">
        <v>1075599997</v>
      </c>
      <c r="C41" s="3">
        <v>1435124578</v>
      </c>
      <c r="D41" s="3">
        <v>587407040</v>
      </c>
    </row>
    <row r="42" spans="1:7" x14ac:dyDescent="0.25">
      <c r="A42" s="2" t="s">
        <v>40</v>
      </c>
      <c r="B42" s="3">
        <v>0</v>
      </c>
      <c r="C42" s="3">
        <v>0</v>
      </c>
      <c r="D42" s="3">
        <v>0</v>
      </c>
    </row>
    <row r="43" spans="1:7" x14ac:dyDescent="0.25">
      <c r="A43" s="2" t="s">
        <v>32</v>
      </c>
      <c r="B43" s="3">
        <v>493494711</v>
      </c>
      <c r="C43" s="3">
        <v>378010452</v>
      </c>
      <c r="D43" s="3">
        <v>317220975</v>
      </c>
    </row>
    <row r="44" spans="1:7" x14ac:dyDescent="0.25">
      <c r="A44" s="6" t="s">
        <v>41</v>
      </c>
      <c r="B44" s="7">
        <f>SUM(B39:B43)</f>
        <v>16836178558</v>
      </c>
      <c r="C44" s="7">
        <f t="shared" ref="C44:D44" si="5">SUM(C39:C43)</f>
        <v>15415373616</v>
      </c>
      <c r="D44" s="7">
        <f t="shared" si="5"/>
        <v>12905553118</v>
      </c>
      <c r="E44" s="3"/>
      <c r="F44" s="3"/>
      <c r="G44" s="3"/>
    </row>
    <row r="45" spans="1:7" x14ac:dyDescent="0.25">
      <c r="A45" s="6" t="s">
        <v>42</v>
      </c>
      <c r="B45" s="7">
        <f>SUM(B30,B37,B44)</f>
        <v>50765824701</v>
      </c>
      <c r="C45" s="7">
        <f t="shared" ref="C45:D45" si="6">SUM(C30,C37,C44)</f>
        <v>50141298681</v>
      </c>
      <c r="D45" s="7">
        <f t="shared" si="6"/>
        <v>50727755892</v>
      </c>
      <c r="E45" s="3"/>
      <c r="F45" s="3"/>
      <c r="G45" s="3"/>
    </row>
  </sheetData>
  <mergeCells count="4">
    <mergeCell ref="A1:D1"/>
    <mergeCell ref="A2:D2"/>
    <mergeCell ref="A3:D3"/>
    <mergeCell ref="A4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4"/>
  <sheetViews>
    <sheetView topLeftCell="A6" workbookViewId="0">
      <selection activeCell="B34" sqref="B34"/>
    </sheetView>
  </sheetViews>
  <sheetFormatPr defaultRowHeight="15" x14ac:dyDescent="0.25"/>
  <cols>
    <col min="1" max="1" width="46.375" customWidth="1"/>
    <col min="2" max="3" width="18" customWidth="1"/>
    <col min="4" max="4" width="12.375" bestFit="1" customWidth="1"/>
    <col min="5" max="5" width="13.75" bestFit="1" customWidth="1"/>
  </cols>
  <sheetData>
    <row r="1" spans="1:5" ht="20.100000000000001" customHeight="1" x14ac:dyDescent="0.3">
      <c r="A1" s="8" t="s">
        <v>0</v>
      </c>
      <c r="B1" s="9"/>
      <c r="C1" s="9"/>
    </row>
    <row r="2" spans="1:5" x14ac:dyDescent="0.25">
      <c r="A2" s="10" t="s">
        <v>43</v>
      </c>
      <c r="B2" s="9"/>
      <c r="C2" s="9"/>
    </row>
    <row r="3" spans="1:5" x14ac:dyDescent="0.25">
      <c r="A3" s="10" t="s">
        <v>2</v>
      </c>
      <c r="B3" s="9"/>
      <c r="C3" s="9"/>
    </row>
    <row r="4" spans="1:5" x14ac:dyDescent="0.25">
      <c r="A4" s="11" t="s">
        <v>3</v>
      </c>
      <c r="B4" s="9"/>
      <c r="C4" s="9"/>
    </row>
    <row r="6" spans="1:5" x14ac:dyDescent="0.25">
      <c r="A6" s="1" t="s">
        <v>4</v>
      </c>
      <c r="B6" s="1" t="s">
        <v>5</v>
      </c>
      <c r="C6" s="1" t="s">
        <v>6</v>
      </c>
    </row>
    <row r="7" spans="1:5" x14ac:dyDescent="0.25">
      <c r="A7" s="2" t="s">
        <v>44</v>
      </c>
      <c r="B7" s="3">
        <v>23369647853</v>
      </c>
      <c r="C7" s="3">
        <v>16463260333</v>
      </c>
    </row>
    <row r="8" spans="1:5" x14ac:dyDescent="0.25">
      <c r="A8" s="2" t="s">
        <v>45</v>
      </c>
      <c r="B8" s="3">
        <v>19040876287</v>
      </c>
      <c r="C8" s="3">
        <v>13250868789</v>
      </c>
    </row>
    <row r="9" spans="1:5" x14ac:dyDescent="0.25">
      <c r="A9" s="6" t="s">
        <v>46</v>
      </c>
      <c r="B9" s="7">
        <f>B7-B8</f>
        <v>4328771566</v>
      </c>
      <c r="C9" s="7">
        <f>C7-C8</f>
        <v>3212391544</v>
      </c>
      <c r="D9" s="3"/>
      <c r="E9" s="3"/>
    </row>
    <row r="10" spans="1:5" x14ac:dyDescent="0.25">
      <c r="A10" s="6"/>
      <c r="B10" s="7"/>
      <c r="C10" s="7"/>
    </row>
    <row r="11" spans="1:5" x14ac:dyDescent="0.25">
      <c r="A11" s="2" t="s">
        <v>47</v>
      </c>
      <c r="B11" s="3">
        <v>720943777</v>
      </c>
      <c r="C11" s="3">
        <v>602271775</v>
      </c>
    </row>
    <row r="12" spans="1:5" x14ac:dyDescent="0.25">
      <c r="A12" s="2" t="s">
        <v>48</v>
      </c>
      <c r="B12" s="3">
        <v>1234898511</v>
      </c>
      <c r="C12" s="3">
        <v>1070392788</v>
      </c>
    </row>
    <row r="13" spans="1:5" x14ac:dyDescent="0.25">
      <c r="A13" s="2" t="s">
        <v>49</v>
      </c>
      <c r="B13" s="3">
        <v>34654162</v>
      </c>
      <c r="C13" s="3">
        <v>40878807</v>
      </c>
    </row>
    <row r="14" spans="1:5" x14ac:dyDescent="0.25">
      <c r="A14" s="2" t="s">
        <v>50</v>
      </c>
      <c r="B14" s="3">
        <v>1540</v>
      </c>
      <c r="C14" s="3">
        <v>134535</v>
      </c>
    </row>
    <row r="15" spans="1:5" ht="30" x14ac:dyDescent="0.25">
      <c r="A15" s="6" t="s">
        <v>51</v>
      </c>
      <c r="B15" s="7">
        <f>SUM(B11:B14)</f>
        <v>1990497990</v>
      </c>
      <c r="C15" s="7">
        <f>SUM(C11:C14)</f>
        <v>1713677905</v>
      </c>
      <c r="D15" s="3"/>
      <c r="E15" s="3"/>
    </row>
    <row r="16" spans="1:5" x14ac:dyDescent="0.25">
      <c r="A16" s="12"/>
      <c r="B16" s="13"/>
      <c r="C16" s="13"/>
    </row>
    <row r="17" spans="1:5" x14ac:dyDescent="0.25">
      <c r="A17" s="6" t="s">
        <v>52</v>
      </c>
      <c r="B17" s="7">
        <f>B9-B15</f>
        <v>2338273576</v>
      </c>
      <c r="C17" s="7">
        <f>C9-C15</f>
        <v>1498713639</v>
      </c>
      <c r="D17" s="3"/>
      <c r="E17" s="3"/>
    </row>
    <row r="18" spans="1:5" x14ac:dyDescent="0.25">
      <c r="A18" s="2"/>
      <c r="B18" s="3"/>
      <c r="C18" s="3"/>
    </row>
    <row r="19" spans="1:5" x14ac:dyDescent="0.25">
      <c r="A19" s="2" t="s">
        <v>53</v>
      </c>
      <c r="B19" s="3">
        <v>64324998</v>
      </c>
      <c r="C19" s="3">
        <v>37238112</v>
      </c>
    </row>
    <row r="20" spans="1:5" x14ac:dyDescent="0.25">
      <c r="A20" s="2" t="s">
        <v>54</v>
      </c>
      <c r="B20" s="3">
        <v>0</v>
      </c>
      <c r="C20" s="3">
        <v>0</v>
      </c>
    </row>
    <row r="21" spans="1:5" x14ac:dyDescent="0.25">
      <c r="A21" s="2" t="s">
        <v>55</v>
      </c>
      <c r="B21" s="3">
        <v>236339070</v>
      </c>
      <c r="C21" s="3">
        <v>392807037</v>
      </c>
    </row>
    <row r="22" spans="1:5" x14ac:dyDescent="0.25">
      <c r="A22" s="2" t="s">
        <v>56</v>
      </c>
      <c r="B22" s="3">
        <v>126124351</v>
      </c>
      <c r="C22" s="3">
        <v>33645676</v>
      </c>
    </row>
    <row r="23" spans="1:5" x14ac:dyDescent="0.25">
      <c r="A23" s="2" t="s">
        <v>57</v>
      </c>
      <c r="B23" s="3">
        <v>-3595937735</v>
      </c>
      <c r="C23" s="3">
        <v>-3349225757</v>
      </c>
    </row>
    <row r="24" spans="1:5" x14ac:dyDescent="0.25">
      <c r="A24" s="2" t="s">
        <v>58</v>
      </c>
      <c r="B24" s="3">
        <v>14783332</v>
      </c>
      <c r="C24" s="3">
        <v>31269929</v>
      </c>
    </row>
    <row r="25" spans="1:5" x14ac:dyDescent="0.25">
      <c r="A25" s="6" t="s">
        <v>59</v>
      </c>
      <c r="B25" s="7">
        <f>SUM(B17:B24)</f>
        <v>-816092408</v>
      </c>
      <c r="C25" s="7">
        <f>SUM(C17:C24)</f>
        <v>-1355551364</v>
      </c>
      <c r="D25" s="3"/>
      <c r="E25" s="3"/>
    </row>
    <row r="26" spans="1:5" x14ac:dyDescent="0.25">
      <c r="A26" s="2"/>
      <c r="B26" s="3"/>
      <c r="C26" s="3"/>
    </row>
    <row r="27" spans="1:5" x14ac:dyDescent="0.25">
      <c r="A27" s="2" t="s">
        <v>60</v>
      </c>
      <c r="B27" s="3">
        <v>44316831</v>
      </c>
      <c r="C27" s="3">
        <v>-68822813</v>
      </c>
    </row>
    <row r="28" spans="1:5" x14ac:dyDescent="0.25">
      <c r="A28" s="6" t="s">
        <v>61</v>
      </c>
      <c r="B28" s="7">
        <f>SUM(B25:B27)</f>
        <v>-771775577</v>
      </c>
      <c r="C28" s="7">
        <f>SUM(C25:C27)</f>
        <v>-1424374177</v>
      </c>
      <c r="D28" s="3"/>
      <c r="E28" s="3"/>
    </row>
    <row r="29" spans="1:5" x14ac:dyDescent="0.25">
      <c r="A29" s="2"/>
      <c r="B29" s="3"/>
      <c r="C29" s="3"/>
    </row>
    <row r="30" spans="1:5" x14ac:dyDescent="0.25">
      <c r="A30" s="14" t="s">
        <v>148</v>
      </c>
      <c r="B30" s="3"/>
      <c r="C30" s="3"/>
    </row>
    <row r="31" spans="1:5" x14ac:dyDescent="0.25">
      <c r="A31" s="2" t="s">
        <v>62</v>
      </c>
      <c r="B31" s="3">
        <v>0</v>
      </c>
      <c r="C31" s="3">
        <v>0</v>
      </c>
    </row>
    <row r="32" spans="1:5" x14ac:dyDescent="0.25">
      <c r="A32" s="2" t="s">
        <v>63</v>
      </c>
      <c r="B32" s="3">
        <v>359402016</v>
      </c>
      <c r="C32" s="3">
        <v>-432372378</v>
      </c>
    </row>
    <row r="33" spans="1:5" x14ac:dyDescent="0.25">
      <c r="A33" s="2" t="s">
        <v>64</v>
      </c>
      <c r="B33" s="3">
        <v>0</v>
      </c>
      <c r="C33" s="3">
        <v>0</v>
      </c>
    </row>
    <row r="34" spans="1:5" x14ac:dyDescent="0.25">
      <c r="A34" s="6" t="s">
        <v>65</v>
      </c>
      <c r="B34" s="7">
        <f>SUM(B28:B32)</f>
        <v>-412373561</v>
      </c>
      <c r="C34" s="7">
        <f>SUM(C28:C32)</f>
        <v>-1856746555</v>
      </c>
      <c r="D34" s="3"/>
      <c r="E34" s="3"/>
    </row>
  </sheetData>
  <mergeCells count="4">
    <mergeCell ref="A1:C1"/>
    <mergeCell ref="A2:C2"/>
    <mergeCell ref="A3:C3"/>
    <mergeCell ref="A4:C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7"/>
  <sheetViews>
    <sheetView topLeftCell="A6" workbookViewId="0">
      <selection activeCell="C21" sqref="C21"/>
    </sheetView>
  </sheetViews>
  <sheetFormatPr defaultRowHeight="15" x14ac:dyDescent="0.25"/>
  <cols>
    <col min="1" max="1" width="45.375" customWidth="1"/>
    <col min="2" max="3" width="18" customWidth="1"/>
  </cols>
  <sheetData>
    <row r="1" spans="1:3" ht="20.100000000000001" customHeight="1" x14ac:dyDescent="0.3">
      <c r="A1" s="8" t="s">
        <v>0</v>
      </c>
      <c r="B1" s="9"/>
      <c r="C1" s="9"/>
    </row>
    <row r="2" spans="1:3" x14ac:dyDescent="0.25">
      <c r="A2" s="10" t="s">
        <v>66</v>
      </c>
      <c r="B2" s="9"/>
      <c r="C2" s="9"/>
    </row>
    <row r="3" spans="1:3" x14ac:dyDescent="0.25">
      <c r="A3" s="10" t="s">
        <v>158</v>
      </c>
      <c r="B3" s="9"/>
      <c r="C3" s="9"/>
    </row>
    <row r="4" spans="1:3" x14ac:dyDescent="0.25">
      <c r="A4" s="11" t="s">
        <v>3</v>
      </c>
      <c r="B4" s="9"/>
      <c r="C4" s="9"/>
    </row>
    <row r="6" spans="1:3" x14ac:dyDescent="0.25">
      <c r="A6" s="1" t="s">
        <v>4</v>
      </c>
      <c r="B6" s="1" t="s">
        <v>5</v>
      </c>
      <c r="C6" s="1" t="s">
        <v>6</v>
      </c>
    </row>
    <row r="7" spans="1:3" x14ac:dyDescent="0.25">
      <c r="A7" s="14" t="s">
        <v>67</v>
      </c>
      <c r="B7" s="3">
        <f>Profit_Loss!B34</f>
        <v>-412373561</v>
      </c>
      <c r="C7" s="3">
        <f>Profit_Loss!C34</f>
        <v>-1856746555</v>
      </c>
    </row>
    <row r="8" spans="1:3" x14ac:dyDescent="0.25">
      <c r="A8" s="14"/>
      <c r="B8" s="3"/>
      <c r="C8" s="3"/>
    </row>
    <row r="9" spans="1:3" x14ac:dyDescent="0.25">
      <c r="A9" s="2" t="s">
        <v>68</v>
      </c>
      <c r="B9" s="3"/>
      <c r="C9" s="3"/>
    </row>
    <row r="10" spans="1:3" x14ac:dyDescent="0.25">
      <c r="A10" s="14" t="s">
        <v>69</v>
      </c>
      <c r="B10" s="3">
        <v>0</v>
      </c>
      <c r="C10" s="3">
        <v>0</v>
      </c>
    </row>
    <row r="11" spans="1:3" x14ac:dyDescent="0.25">
      <c r="A11" s="2" t="s">
        <v>70</v>
      </c>
      <c r="B11" s="3"/>
      <c r="C11" s="3"/>
    </row>
    <row r="12" spans="1:3" ht="30" x14ac:dyDescent="0.25">
      <c r="A12" s="2" t="s">
        <v>71</v>
      </c>
      <c r="B12" s="3"/>
      <c r="C12" s="3"/>
    </row>
    <row r="13" spans="1:3" ht="30" x14ac:dyDescent="0.25">
      <c r="A13" s="2" t="s">
        <v>72</v>
      </c>
      <c r="B13" s="3"/>
      <c r="C13" s="3"/>
    </row>
    <row r="14" spans="1:3" x14ac:dyDescent="0.25">
      <c r="A14" s="2" t="s">
        <v>73</v>
      </c>
      <c r="B14" s="3"/>
      <c r="C14" s="3"/>
    </row>
    <row r="15" spans="1:3" x14ac:dyDescent="0.25">
      <c r="A15" s="2" t="s">
        <v>74</v>
      </c>
      <c r="B15" s="3"/>
      <c r="C15" s="3"/>
    </row>
    <row r="16" spans="1:3" x14ac:dyDescent="0.25">
      <c r="A16" s="2"/>
      <c r="B16" s="3"/>
      <c r="C16" s="3"/>
    </row>
    <row r="17" spans="1:3" x14ac:dyDescent="0.25">
      <c r="A17" s="14" t="s">
        <v>75</v>
      </c>
      <c r="B17" s="3">
        <v>-252940482</v>
      </c>
      <c r="C17" s="3">
        <v>145528868</v>
      </c>
    </row>
    <row r="18" spans="1:3" x14ac:dyDescent="0.25">
      <c r="A18" s="2" t="s">
        <v>76</v>
      </c>
      <c r="B18" s="3"/>
      <c r="C18" s="3"/>
    </row>
    <row r="19" spans="1:3" ht="30" x14ac:dyDescent="0.25">
      <c r="A19" s="2" t="s">
        <v>77</v>
      </c>
      <c r="B19" s="3"/>
      <c r="C19" s="3"/>
    </row>
    <row r="20" spans="1:3" ht="30" x14ac:dyDescent="0.25">
      <c r="A20" s="2" t="s">
        <v>78</v>
      </c>
      <c r="B20" s="3">
        <v>-337462987</v>
      </c>
      <c r="C20" s="3">
        <v>194058415</v>
      </c>
    </row>
    <row r="21" spans="1:3" ht="30" x14ac:dyDescent="0.25">
      <c r="A21" s="2" t="s">
        <v>79</v>
      </c>
      <c r="B21" s="3">
        <v>209011</v>
      </c>
      <c r="C21" s="3">
        <v>-19924</v>
      </c>
    </row>
    <row r="22" spans="1:3" x14ac:dyDescent="0.25">
      <c r="A22" s="2" t="s">
        <v>73</v>
      </c>
      <c r="B22" s="3">
        <v>84313494</v>
      </c>
      <c r="C22" s="3">
        <v>-48509623</v>
      </c>
    </row>
    <row r="23" spans="1:3" x14ac:dyDescent="0.25">
      <c r="A23" s="2"/>
      <c r="B23" s="3"/>
      <c r="C23" s="3"/>
    </row>
    <row r="24" spans="1:3" ht="30" x14ac:dyDescent="0.25">
      <c r="A24" s="14" t="s">
        <v>80</v>
      </c>
      <c r="B24" s="3">
        <v>0</v>
      </c>
      <c r="C24" s="3">
        <v>0</v>
      </c>
    </row>
    <row r="25" spans="1:3" x14ac:dyDescent="0.25">
      <c r="A25" s="14"/>
      <c r="B25" s="3"/>
      <c r="C25" s="3"/>
    </row>
    <row r="26" spans="1:3" ht="30" x14ac:dyDescent="0.25">
      <c r="A26" s="6" t="s">
        <v>81</v>
      </c>
      <c r="B26" s="7">
        <f>B17</f>
        <v>-252940482</v>
      </c>
      <c r="C26" s="7">
        <f>C17</f>
        <v>145528868</v>
      </c>
    </row>
    <row r="27" spans="1:3" ht="30" x14ac:dyDescent="0.25">
      <c r="A27" s="6" t="s">
        <v>82</v>
      </c>
      <c r="B27" s="7">
        <f>SUM(B7,B20,B21,B22)</f>
        <v>-665314043</v>
      </c>
      <c r="C27" s="7">
        <f>SUM(C7,C20,C21,C22)</f>
        <v>-1711217687</v>
      </c>
    </row>
  </sheetData>
  <mergeCells count="4">
    <mergeCell ref="A1:C1"/>
    <mergeCell ref="A2:C2"/>
    <mergeCell ref="A3:C3"/>
    <mergeCell ref="A4:C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2"/>
  <sheetViews>
    <sheetView topLeftCell="A3" workbookViewId="0">
      <selection activeCell="E18" sqref="E18"/>
    </sheetView>
  </sheetViews>
  <sheetFormatPr defaultRowHeight="15" x14ac:dyDescent="0.25"/>
  <cols>
    <col min="1" max="1" width="42" customWidth="1"/>
    <col min="2" max="10" width="18" customWidth="1"/>
    <col min="11" max="11" width="13.75" bestFit="1" customWidth="1"/>
  </cols>
  <sheetData>
    <row r="1" spans="1:10" ht="20.100000000000001" customHeight="1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</row>
    <row r="2" spans="1:10" x14ac:dyDescent="0.25">
      <c r="A2" s="10" t="s">
        <v>83</v>
      </c>
      <c r="B2" s="9"/>
      <c r="C2" s="9"/>
      <c r="D2" s="9"/>
      <c r="E2" s="9"/>
      <c r="F2" s="9"/>
      <c r="G2" s="9"/>
      <c r="H2" s="9"/>
      <c r="I2" s="9"/>
      <c r="J2" s="9"/>
    </row>
    <row r="3" spans="1:10" x14ac:dyDescent="0.25">
      <c r="A3" s="10" t="s">
        <v>159</v>
      </c>
      <c r="B3" s="9"/>
      <c r="C3" s="9"/>
      <c r="D3" s="9"/>
      <c r="E3" s="9"/>
      <c r="F3" s="9"/>
      <c r="G3" s="9"/>
      <c r="H3" s="9"/>
      <c r="I3" s="9"/>
      <c r="J3" s="9"/>
    </row>
    <row r="4" spans="1:10" x14ac:dyDescent="0.25">
      <c r="A4" s="10" t="s">
        <v>6</v>
      </c>
      <c r="B4" s="9"/>
      <c r="C4" s="9"/>
      <c r="D4" s="9"/>
      <c r="E4" s="9"/>
      <c r="F4" s="9"/>
      <c r="G4" s="9"/>
      <c r="H4" s="9"/>
      <c r="I4" s="9"/>
      <c r="J4" s="9"/>
    </row>
    <row r="5" spans="1:10" x14ac:dyDescent="0.25">
      <c r="A5" s="11" t="s">
        <v>3</v>
      </c>
      <c r="B5" s="9"/>
      <c r="C5" s="9"/>
      <c r="D5" s="9"/>
      <c r="E5" s="9"/>
      <c r="F5" s="9"/>
      <c r="G5" s="9"/>
      <c r="H5" s="9"/>
      <c r="I5" s="9"/>
      <c r="J5" s="9"/>
    </row>
    <row r="7" spans="1:10" ht="30" x14ac:dyDescent="0.25">
      <c r="A7" s="1" t="s">
        <v>4</v>
      </c>
      <c r="B7" s="1" t="s">
        <v>25</v>
      </c>
      <c r="C7" s="1" t="s">
        <v>26</v>
      </c>
      <c r="D7" s="1" t="s">
        <v>84</v>
      </c>
      <c r="E7" s="1" t="s">
        <v>85</v>
      </c>
      <c r="F7" s="1" t="s">
        <v>151</v>
      </c>
      <c r="G7" s="1" t="s">
        <v>150</v>
      </c>
      <c r="H7" s="1" t="s">
        <v>86</v>
      </c>
      <c r="I7" s="1" t="s">
        <v>87</v>
      </c>
      <c r="J7" s="1" t="s">
        <v>28</v>
      </c>
    </row>
    <row r="8" spans="1:10" x14ac:dyDescent="0.25">
      <c r="A8" s="2" t="s">
        <v>88</v>
      </c>
      <c r="B8" s="3">
        <v>162283911</v>
      </c>
      <c r="C8" s="3">
        <v>2941553188</v>
      </c>
      <c r="D8" s="3">
        <v>8146857030</v>
      </c>
      <c r="E8" s="3">
        <v>120018</v>
      </c>
      <c r="F8" s="3">
        <v>670202</v>
      </c>
      <c r="G8" s="3">
        <v>-13108058860</v>
      </c>
      <c r="H8" s="3">
        <f>SUM(B8:G8)</f>
        <v>-1856574511</v>
      </c>
      <c r="I8" s="3">
        <v>0</v>
      </c>
      <c r="J8" s="3">
        <f>SUM(H8:I8)</f>
        <v>-1856574511</v>
      </c>
    </row>
    <row r="9" spans="1:10" x14ac:dyDescent="0.25">
      <c r="A9" s="2" t="s">
        <v>89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-216676991</v>
      </c>
      <c r="H9" s="3">
        <f>SUM(B9:G9)</f>
        <v>-216676991</v>
      </c>
      <c r="I9" s="3">
        <v>0</v>
      </c>
      <c r="J9" s="3">
        <f>SUM(H9:I9)</f>
        <v>-216676991</v>
      </c>
    </row>
    <row r="10" spans="1:10" x14ac:dyDescent="0.25">
      <c r="A10" s="2" t="s">
        <v>90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/>
    </row>
    <row r="11" spans="1:10" ht="30" x14ac:dyDescent="0.25">
      <c r="A11" s="2" t="s">
        <v>91</v>
      </c>
      <c r="B11" s="3">
        <f>SUM(B8:B10)</f>
        <v>162283911</v>
      </c>
      <c r="C11" s="3">
        <f t="shared" ref="C11:H11" si="0">SUM(C8:C10)</f>
        <v>2941553188</v>
      </c>
      <c r="D11" s="3">
        <f t="shared" si="0"/>
        <v>8146857030</v>
      </c>
      <c r="E11" s="3">
        <f t="shared" si="0"/>
        <v>120018</v>
      </c>
      <c r="F11" s="3">
        <f t="shared" si="0"/>
        <v>670202</v>
      </c>
      <c r="G11" s="3">
        <f t="shared" si="0"/>
        <v>-13324735851</v>
      </c>
      <c r="H11" s="3">
        <f>SUM(B11:G11)</f>
        <v>-2073251502</v>
      </c>
      <c r="I11" s="3">
        <f t="shared" ref="I11" si="1">SUM(I8:I10)</f>
        <v>0</v>
      </c>
      <c r="J11" s="3">
        <f t="shared" ref="J11" si="2">SUM(J8:J10)</f>
        <v>-2073251502</v>
      </c>
    </row>
    <row r="12" spans="1:10" x14ac:dyDescent="0.25">
      <c r="A12" s="4" t="s">
        <v>92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 x14ac:dyDescent="0.25">
      <c r="A13" s="2" t="s">
        <v>93</v>
      </c>
      <c r="B13" s="3"/>
      <c r="C13" s="3"/>
      <c r="D13" s="3"/>
      <c r="E13" s="3"/>
      <c r="F13" s="3"/>
      <c r="G13" s="3">
        <v>-1856746556</v>
      </c>
      <c r="H13" s="3">
        <v>-1856746556</v>
      </c>
      <c r="I13" s="3"/>
      <c r="J13" s="3">
        <v>-1856746556</v>
      </c>
    </row>
    <row r="14" spans="1:10" x14ac:dyDescent="0.25">
      <c r="A14" s="4" t="s">
        <v>94</v>
      </c>
      <c r="B14" s="5"/>
      <c r="C14" s="5"/>
      <c r="D14" s="5"/>
      <c r="E14" s="5"/>
      <c r="F14" s="5"/>
      <c r="G14" s="5"/>
      <c r="H14" s="5"/>
      <c r="I14" s="5"/>
      <c r="J14" s="5"/>
    </row>
    <row r="15" spans="1:10" ht="30" x14ac:dyDescent="0.25">
      <c r="A15" s="2" t="s">
        <v>95</v>
      </c>
      <c r="B15" s="3"/>
      <c r="C15" s="3"/>
      <c r="D15" s="3"/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f>SUM(H15:I15)</f>
        <v>0</v>
      </c>
    </row>
    <row r="16" spans="1:10" x14ac:dyDescent="0.25">
      <c r="A16" s="2" t="s">
        <v>96</v>
      </c>
      <c r="B16" s="3"/>
      <c r="C16" s="3"/>
      <c r="D16" s="3"/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f t="shared" ref="J16:J21" si="3">SUM(H16:I16)</f>
        <v>0</v>
      </c>
    </row>
    <row r="17" spans="1:11" x14ac:dyDescent="0.25">
      <c r="A17" s="2" t="s">
        <v>97</v>
      </c>
      <c r="B17" s="3"/>
      <c r="C17" s="3"/>
      <c r="D17" s="3"/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f t="shared" si="3"/>
        <v>0</v>
      </c>
    </row>
    <row r="18" spans="1:11" x14ac:dyDescent="0.25">
      <c r="A18" s="2" t="s">
        <v>98</v>
      </c>
      <c r="B18" s="3"/>
      <c r="C18" s="3"/>
      <c r="D18" s="3"/>
      <c r="E18" s="3">
        <v>0</v>
      </c>
      <c r="F18" s="3">
        <v>145543811</v>
      </c>
      <c r="G18" s="3">
        <v>0</v>
      </c>
      <c r="H18" s="3">
        <v>145543812</v>
      </c>
      <c r="I18" s="3">
        <v>0</v>
      </c>
      <c r="J18" s="3">
        <f t="shared" si="3"/>
        <v>145543812</v>
      </c>
    </row>
    <row r="19" spans="1:11" x14ac:dyDescent="0.25">
      <c r="A19" s="2" t="s">
        <v>99</v>
      </c>
      <c r="B19" s="3"/>
      <c r="C19" s="3"/>
      <c r="D19" s="3"/>
      <c r="E19" s="3">
        <v>-14943</v>
      </c>
      <c r="F19" s="3">
        <v>0</v>
      </c>
      <c r="G19" s="3">
        <v>0</v>
      </c>
      <c r="H19" s="3">
        <v>-14943</v>
      </c>
      <c r="I19" s="3">
        <v>0</v>
      </c>
      <c r="J19" s="3">
        <f t="shared" si="3"/>
        <v>-14943</v>
      </c>
    </row>
    <row r="20" spans="1:11" x14ac:dyDescent="0.25">
      <c r="A20" s="2" t="s">
        <v>100</v>
      </c>
      <c r="B20" s="3"/>
      <c r="C20" s="3"/>
      <c r="D20" s="3"/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f t="shared" si="3"/>
        <v>0</v>
      </c>
    </row>
    <row r="21" spans="1:11" ht="30" x14ac:dyDescent="0.25">
      <c r="A21" s="2" t="s">
        <v>101</v>
      </c>
      <c r="B21" s="3"/>
      <c r="C21" s="3"/>
      <c r="D21" s="3"/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f t="shared" si="3"/>
        <v>0</v>
      </c>
    </row>
    <row r="22" spans="1:11" x14ac:dyDescent="0.25">
      <c r="A22" s="6" t="s">
        <v>102</v>
      </c>
      <c r="B22" s="7"/>
      <c r="C22" s="7"/>
      <c r="D22" s="7"/>
      <c r="E22" s="7">
        <f>SUM(E13:E21)</f>
        <v>-14943</v>
      </c>
      <c r="F22" s="7">
        <f>SUM(F13:F21)</f>
        <v>145543811</v>
      </c>
      <c r="G22" s="7">
        <f>SUM(G13:G21)</f>
        <v>-1856746556</v>
      </c>
      <c r="H22" s="7">
        <f>SUM(H13:H21)</f>
        <v>-1711217687</v>
      </c>
      <c r="I22" s="7">
        <f t="shared" ref="I22:J22" si="4">SUM(I13:I21)</f>
        <v>0</v>
      </c>
      <c r="J22" s="7">
        <f t="shared" si="4"/>
        <v>-1711217687</v>
      </c>
    </row>
    <row r="23" spans="1:11" x14ac:dyDescent="0.25">
      <c r="A23" s="2" t="s">
        <v>103</v>
      </c>
      <c r="B23" s="3"/>
      <c r="C23" s="3"/>
      <c r="D23" s="3"/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</row>
    <row r="24" spans="1:11" x14ac:dyDescent="0.25">
      <c r="A24" s="2" t="s">
        <v>104</v>
      </c>
      <c r="B24" s="3"/>
      <c r="C24" s="3"/>
      <c r="D24" s="3"/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/>
    </row>
    <row r="25" spans="1:11" ht="30" x14ac:dyDescent="0.25">
      <c r="A25" s="4" t="s">
        <v>105</v>
      </c>
      <c r="B25" s="5"/>
      <c r="C25" s="5"/>
      <c r="D25" s="5"/>
      <c r="E25" s="5"/>
      <c r="F25" s="5"/>
      <c r="G25" s="5"/>
      <c r="H25" s="5"/>
      <c r="I25" s="5"/>
      <c r="J25" s="5"/>
    </row>
    <row r="26" spans="1:11" x14ac:dyDescent="0.25">
      <c r="A26" s="2" t="s">
        <v>106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/>
    </row>
    <row r="27" spans="1:11" x14ac:dyDescent="0.25">
      <c r="A27" s="2" t="s">
        <v>90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/>
    </row>
    <row r="28" spans="1:11" x14ac:dyDescent="0.25">
      <c r="A28" s="2" t="s">
        <v>107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/>
    </row>
    <row r="29" spans="1:11" x14ac:dyDescent="0.25">
      <c r="A29" s="2" t="s">
        <v>108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/>
    </row>
    <row r="30" spans="1:11" x14ac:dyDescent="0.25">
      <c r="A30" s="2" t="s">
        <v>109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/>
    </row>
    <row r="31" spans="1:11" x14ac:dyDescent="0.25">
      <c r="A31" s="6" t="s">
        <v>110</v>
      </c>
      <c r="B31" s="7"/>
      <c r="C31" s="7"/>
      <c r="D31" s="7"/>
      <c r="E31" s="7"/>
      <c r="F31" s="7"/>
      <c r="G31" s="7"/>
      <c r="H31" s="7"/>
      <c r="I31" s="7"/>
      <c r="J31" s="7"/>
    </row>
    <row r="32" spans="1:11" x14ac:dyDescent="0.25">
      <c r="A32" s="2" t="s">
        <v>111</v>
      </c>
      <c r="B32" s="3">
        <f t="shared" ref="B32:G32" si="5">SUM(B22,B11)</f>
        <v>162283911</v>
      </c>
      <c r="C32" s="3">
        <f t="shared" si="5"/>
        <v>2941553188</v>
      </c>
      <c r="D32" s="3">
        <f t="shared" si="5"/>
        <v>8146857030</v>
      </c>
      <c r="E32" s="3">
        <f t="shared" si="5"/>
        <v>105075</v>
      </c>
      <c r="F32" s="3">
        <f t="shared" si="5"/>
        <v>146214013</v>
      </c>
      <c r="G32" s="3">
        <f t="shared" si="5"/>
        <v>-15181482407</v>
      </c>
      <c r="H32" s="3">
        <f t="shared" ref="H32:I32" si="6">SUM(H22,H11)</f>
        <v>-3784469189</v>
      </c>
      <c r="I32" s="3">
        <f t="shared" si="6"/>
        <v>0</v>
      </c>
      <c r="J32" s="3">
        <f>SUM(J22,J11)</f>
        <v>-3784469189</v>
      </c>
      <c r="K32" s="3"/>
    </row>
  </sheetData>
  <mergeCells count="5">
    <mergeCell ref="A1:J1"/>
    <mergeCell ref="A2:J2"/>
    <mergeCell ref="A3:J3"/>
    <mergeCell ref="A4:J4"/>
    <mergeCell ref="A5:J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1"/>
  <sheetViews>
    <sheetView tabSelected="1" workbookViewId="0">
      <selection activeCell="E18" sqref="E18"/>
    </sheetView>
  </sheetViews>
  <sheetFormatPr defaultRowHeight="15" x14ac:dyDescent="0.25"/>
  <cols>
    <col min="1" max="1" width="42" customWidth="1"/>
    <col min="2" max="10" width="18" customWidth="1"/>
  </cols>
  <sheetData>
    <row r="1" spans="1:10" ht="20.100000000000001" customHeight="1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</row>
    <row r="2" spans="1:10" x14ac:dyDescent="0.25">
      <c r="A2" s="10" t="s">
        <v>83</v>
      </c>
      <c r="B2" s="9"/>
      <c r="C2" s="9"/>
      <c r="D2" s="9"/>
      <c r="E2" s="9"/>
      <c r="F2" s="9"/>
      <c r="G2" s="9"/>
      <c r="H2" s="9"/>
      <c r="I2" s="9"/>
      <c r="J2" s="9"/>
    </row>
    <row r="3" spans="1:10" x14ac:dyDescent="0.25">
      <c r="A3" s="10" t="s">
        <v>159</v>
      </c>
      <c r="B3" s="9"/>
      <c r="C3" s="9"/>
      <c r="D3" s="9"/>
      <c r="E3" s="9"/>
      <c r="F3" s="9"/>
      <c r="G3" s="9"/>
      <c r="H3" s="9"/>
      <c r="I3" s="9"/>
      <c r="J3" s="9"/>
    </row>
    <row r="4" spans="1:10" x14ac:dyDescent="0.25">
      <c r="A4" s="10" t="s">
        <v>5</v>
      </c>
      <c r="B4" s="9"/>
      <c r="C4" s="9"/>
      <c r="D4" s="9"/>
      <c r="E4" s="9"/>
      <c r="F4" s="9"/>
      <c r="G4" s="9"/>
      <c r="H4" s="9"/>
      <c r="I4" s="9"/>
      <c r="J4" s="9"/>
    </row>
    <row r="5" spans="1:10" x14ac:dyDescent="0.25">
      <c r="A5" s="11" t="s">
        <v>3</v>
      </c>
      <c r="B5" s="9"/>
      <c r="C5" s="9"/>
      <c r="D5" s="9"/>
      <c r="E5" s="9"/>
      <c r="F5" s="9"/>
      <c r="G5" s="9"/>
      <c r="H5" s="9"/>
      <c r="I5" s="9"/>
      <c r="J5" s="9"/>
    </row>
    <row r="7" spans="1:10" ht="30" x14ac:dyDescent="0.25">
      <c r="A7" s="1" t="s">
        <v>4</v>
      </c>
      <c r="B7" s="1" t="s">
        <v>25</v>
      </c>
      <c r="C7" s="1" t="s">
        <v>26</v>
      </c>
      <c r="D7" s="1" t="s">
        <v>84</v>
      </c>
      <c r="E7" s="1" t="s">
        <v>85</v>
      </c>
      <c r="F7" s="1" t="s">
        <v>151</v>
      </c>
      <c r="G7" s="1" t="s">
        <v>150</v>
      </c>
      <c r="H7" s="1" t="s">
        <v>86</v>
      </c>
      <c r="I7" s="1" t="s">
        <v>87</v>
      </c>
      <c r="J7" s="1" t="s">
        <v>28</v>
      </c>
    </row>
    <row r="8" spans="1:10" x14ac:dyDescent="0.25">
      <c r="A8" s="2" t="s">
        <v>112</v>
      </c>
      <c r="B8" s="3">
        <v>162283911</v>
      </c>
      <c r="C8" s="3">
        <v>2941553188</v>
      </c>
      <c r="D8" s="3">
        <v>8146857030</v>
      </c>
      <c r="E8" s="3">
        <v>105075</v>
      </c>
      <c r="F8" s="3">
        <v>146214013</v>
      </c>
      <c r="G8" s="3">
        <v>-15181482407</v>
      </c>
      <c r="H8" s="3">
        <v>-3784469190</v>
      </c>
      <c r="I8" s="3"/>
      <c r="J8" s="3">
        <f>H8+I8</f>
        <v>-3784469190</v>
      </c>
    </row>
    <row r="9" spans="1:10" x14ac:dyDescent="0.25">
      <c r="A9" s="2" t="s">
        <v>89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-29865365</v>
      </c>
      <c r="H9" s="3">
        <v>-29865365</v>
      </c>
      <c r="I9" s="3"/>
      <c r="J9" s="3">
        <f t="shared" ref="J9:J11" si="0">H9+I9</f>
        <v>-29865365</v>
      </c>
    </row>
    <row r="10" spans="1:10" x14ac:dyDescent="0.25">
      <c r="A10" s="2" t="s">
        <v>90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/>
      <c r="J10" s="3">
        <f t="shared" si="0"/>
        <v>0</v>
      </c>
    </row>
    <row r="11" spans="1:10" ht="30" x14ac:dyDescent="0.25">
      <c r="A11" s="2" t="s">
        <v>113</v>
      </c>
      <c r="B11" s="3">
        <f>SUM(B8:B10)</f>
        <v>162283911</v>
      </c>
      <c r="C11" s="3">
        <f>SUM(C8:C10)</f>
        <v>2941553188</v>
      </c>
      <c r="D11" s="3">
        <f>SUM(D8:D10)</f>
        <v>8146857030</v>
      </c>
      <c r="E11" s="3">
        <f>SUM(E8:E10)</f>
        <v>105075</v>
      </c>
      <c r="F11" s="3">
        <f>SUM(F8:F10)</f>
        <v>146214013</v>
      </c>
      <c r="G11" s="3">
        <f>SUM(G8:G10)</f>
        <v>-15211347772</v>
      </c>
      <c r="H11" s="3">
        <f>SUM(H8:H10)</f>
        <v>-3814334555</v>
      </c>
      <c r="I11" s="3"/>
      <c r="J11" s="3">
        <f t="shared" si="0"/>
        <v>-3814334555</v>
      </c>
    </row>
    <row r="12" spans="1:10" x14ac:dyDescent="0.25">
      <c r="A12" s="4" t="s">
        <v>92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 x14ac:dyDescent="0.25">
      <c r="A13" s="2" t="s">
        <v>93</v>
      </c>
      <c r="B13" s="3"/>
      <c r="C13" s="3"/>
      <c r="D13" s="3"/>
      <c r="E13" s="3"/>
      <c r="F13" s="3"/>
      <c r="G13" s="3">
        <v>-412373562</v>
      </c>
      <c r="H13" s="3">
        <v>-412373562</v>
      </c>
      <c r="I13" s="3"/>
      <c r="J13" s="3">
        <f>SUM(H13:I13)</f>
        <v>-412373562</v>
      </c>
    </row>
    <row r="14" spans="1:10" x14ac:dyDescent="0.25">
      <c r="A14" s="4" t="s">
        <v>94</v>
      </c>
      <c r="B14" s="5"/>
      <c r="C14" s="5"/>
      <c r="D14" s="5"/>
      <c r="E14" s="5"/>
      <c r="F14" s="5"/>
      <c r="G14" s="5"/>
      <c r="H14" s="5"/>
      <c r="I14" s="5"/>
      <c r="J14" s="5"/>
    </row>
    <row r="15" spans="1:10" ht="30" x14ac:dyDescent="0.25">
      <c r="A15" s="2" t="s">
        <v>95</v>
      </c>
      <c r="B15" s="3"/>
      <c r="C15" s="3"/>
      <c r="D15" s="3"/>
      <c r="E15" s="3"/>
      <c r="F15" s="3"/>
      <c r="G15" s="3"/>
      <c r="H15" s="3"/>
      <c r="I15" s="3"/>
      <c r="J15" s="3"/>
    </row>
    <row r="16" spans="1:10" x14ac:dyDescent="0.25">
      <c r="A16" s="2" t="s">
        <v>96</v>
      </c>
      <c r="B16" s="3"/>
      <c r="C16" s="3"/>
      <c r="D16" s="3"/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</row>
    <row r="17" spans="1:10" x14ac:dyDescent="0.25">
      <c r="A17" s="2" t="s">
        <v>98</v>
      </c>
      <c r="B17" s="3"/>
      <c r="C17" s="3"/>
      <c r="D17" s="3"/>
      <c r="E17" s="3">
        <v>0</v>
      </c>
      <c r="F17" s="3">
        <v>-253097240</v>
      </c>
      <c r="G17" s="3">
        <v>0</v>
      </c>
      <c r="H17" s="3">
        <v>-253097240</v>
      </c>
      <c r="I17" s="3">
        <v>0</v>
      </c>
      <c r="J17" s="3">
        <v>-253097240</v>
      </c>
    </row>
    <row r="18" spans="1:10" x14ac:dyDescent="0.25">
      <c r="A18" s="2" t="s">
        <v>99</v>
      </c>
      <c r="B18" s="3"/>
      <c r="C18" s="3"/>
      <c r="D18" s="3"/>
      <c r="E18" s="3">
        <v>156758</v>
      </c>
      <c r="F18" s="3">
        <v>0</v>
      </c>
      <c r="G18" s="3">
        <v>0</v>
      </c>
      <c r="H18" s="3">
        <v>156759</v>
      </c>
      <c r="I18" s="3">
        <v>0</v>
      </c>
      <c r="J18" s="3">
        <f>SUM(H18:I18)</f>
        <v>156759</v>
      </c>
    </row>
    <row r="19" spans="1:10" x14ac:dyDescent="0.25">
      <c r="A19" s="2" t="s">
        <v>100</v>
      </c>
      <c r="B19" s="3"/>
      <c r="C19" s="3"/>
      <c r="D19" s="3"/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</row>
    <row r="20" spans="1:10" ht="30" x14ac:dyDescent="0.25">
      <c r="A20" s="2" t="s">
        <v>101</v>
      </c>
      <c r="B20" s="3"/>
      <c r="C20" s="3"/>
      <c r="D20" s="3"/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/>
    </row>
    <row r="21" spans="1:10" x14ac:dyDescent="0.25">
      <c r="A21" s="6" t="s">
        <v>102</v>
      </c>
      <c r="B21" s="7"/>
      <c r="C21" s="7"/>
      <c r="D21" s="7"/>
      <c r="E21" s="7">
        <f>SUM(E13:E20)</f>
        <v>156758</v>
      </c>
      <c r="F21" s="7">
        <f>SUM(F13:F20)</f>
        <v>-253097240</v>
      </c>
      <c r="G21" s="7">
        <f>SUM(G13:G20)</f>
        <v>-412373562</v>
      </c>
      <c r="H21" s="7">
        <f>SUM(H13:H20)</f>
        <v>-665314043</v>
      </c>
      <c r="I21" s="7">
        <f>SUM(I13:I20)</f>
        <v>0</v>
      </c>
      <c r="J21" s="7">
        <f>SUM(J13:J20)</f>
        <v>-665314043</v>
      </c>
    </row>
    <row r="22" spans="1:10" x14ac:dyDescent="0.25">
      <c r="A22" s="2" t="s">
        <v>103</v>
      </c>
      <c r="B22" s="3"/>
      <c r="C22" s="3"/>
      <c r="D22" s="3"/>
      <c r="E22" s="3"/>
      <c r="F22" s="3"/>
      <c r="G22" s="3"/>
      <c r="H22" s="3"/>
      <c r="I22" s="3"/>
      <c r="J22" s="3"/>
    </row>
    <row r="23" spans="1:10" x14ac:dyDescent="0.25">
      <c r="A23" s="2" t="s">
        <v>104</v>
      </c>
      <c r="B23" s="3"/>
      <c r="C23" s="3"/>
      <c r="D23" s="3"/>
      <c r="E23" s="3"/>
      <c r="F23" s="3"/>
      <c r="G23" s="3"/>
      <c r="H23" s="3"/>
      <c r="I23" s="3"/>
      <c r="J23" s="3"/>
    </row>
    <row r="24" spans="1:10" ht="30" x14ac:dyDescent="0.25">
      <c r="A24" s="4" t="s">
        <v>105</v>
      </c>
      <c r="B24" s="5"/>
      <c r="C24" s="5"/>
      <c r="D24" s="5"/>
      <c r="E24" s="5"/>
      <c r="F24" s="5"/>
      <c r="G24" s="5"/>
      <c r="H24" s="5"/>
      <c r="I24" s="5"/>
      <c r="J24" s="5"/>
    </row>
    <row r="25" spans="1:10" x14ac:dyDescent="0.25">
      <c r="A25" s="2" t="s">
        <v>106</v>
      </c>
      <c r="B25" s="3"/>
      <c r="C25" s="3"/>
      <c r="D25" s="3"/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/>
    </row>
    <row r="26" spans="1:10" x14ac:dyDescent="0.25">
      <c r="A26" s="2" t="s">
        <v>90</v>
      </c>
      <c r="B26" s="3"/>
      <c r="C26" s="3"/>
      <c r="D26" s="3"/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/>
    </row>
    <row r="27" spans="1:10" x14ac:dyDescent="0.25">
      <c r="A27" s="2" t="s">
        <v>107</v>
      </c>
      <c r="B27" s="3"/>
      <c r="C27" s="3"/>
      <c r="D27" s="3"/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/>
    </row>
    <row r="28" spans="1:10" x14ac:dyDescent="0.25">
      <c r="A28" s="2" t="s">
        <v>108</v>
      </c>
      <c r="B28" s="3"/>
      <c r="C28" s="3"/>
      <c r="D28" s="3"/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/>
    </row>
    <row r="29" spans="1:10" x14ac:dyDescent="0.25">
      <c r="A29" s="2" t="s">
        <v>109</v>
      </c>
      <c r="B29" s="3"/>
      <c r="C29" s="3"/>
      <c r="D29" s="3"/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/>
    </row>
    <row r="30" spans="1:10" x14ac:dyDescent="0.25">
      <c r="A30" s="6" t="s">
        <v>110</v>
      </c>
      <c r="B30" s="7"/>
      <c r="C30" s="7"/>
      <c r="D30" s="7"/>
      <c r="E30" s="7"/>
      <c r="F30" s="7"/>
      <c r="G30" s="7"/>
      <c r="H30" s="7"/>
      <c r="I30" s="7"/>
      <c r="J30" s="7"/>
    </row>
    <row r="31" spans="1:10" x14ac:dyDescent="0.25">
      <c r="A31" s="2" t="s">
        <v>114</v>
      </c>
      <c r="B31" s="3">
        <f>B11+B21</f>
        <v>162283911</v>
      </c>
      <c r="C31" s="3">
        <f>C11+C21</f>
        <v>2941553188</v>
      </c>
      <c r="D31" s="3">
        <f>D11+D21</f>
        <v>8146857030</v>
      </c>
      <c r="E31" s="3">
        <f>E11+E21</f>
        <v>261833</v>
      </c>
      <c r="F31" s="3">
        <f>F11+F21</f>
        <v>-106883227</v>
      </c>
      <c r="G31" s="3">
        <f>G11+G21</f>
        <v>-15623721334</v>
      </c>
      <c r="H31" s="3">
        <f>H11+H21</f>
        <v>-4479648598</v>
      </c>
      <c r="I31" s="3">
        <f>I11+I21</f>
        <v>0</v>
      </c>
      <c r="J31" s="3">
        <f>J11+J21</f>
        <v>-4479648598</v>
      </c>
    </row>
  </sheetData>
  <mergeCells count="5">
    <mergeCell ref="A1:J1"/>
    <mergeCell ref="A2:J2"/>
    <mergeCell ref="A3:J3"/>
    <mergeCell ref="A4:J4"/>
    <mergeCell ref="A5:J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0"/>
  <sheetViews>
    <sheetView topLeftCell="A23" workbookViewId="0">
      <selection activeCell="C52" sqref="C52"/>
    </sheetView>
  </sheetViews>
  <sheetFormatPr defaultRowHeight="15" x14ac:dyDescent="0.25"/>
  <cols>
    <col min="1" max="1" width="42" customWidth="1"/>
    <col min="2" max="3" width="18" customWidth="1"/>
  </cols>
  <sheetData>
    <row r="1" spans="1:3" ht="20.100000000000001" customHeight="1" x14ac:dyDescent="0.3">
      <c r="A1" s="8" t="s">
        <v>0</v>
      </c>
      <c r="B1" s="9"/>
      <c r="C1" s="9"/>
    </row>
    <row r="2" spans="1:3" x14ac:dyDescent="0.25">
      <c r="A2" s="10" t="s">
        <v>115</v>
      </c>
      <c r="B2" s="9"/>
      <c r="C2" s="9"/>
    </row>
    <row r="3" spans="1:3" x14ac:dyDescent="0.25">
      <c r="A3" s="10" t="s">
        <v>160</v>
      </c>
      <c r="B3" s="9"/>
      <c r="C3" s="9"/>
    </row>
    <row r="4" spans="1:3" x14ac:dyDescent="0.25">
      <c r="A4" s="11" t="s">
        <v>3</v>
      </c>
      <c r="B4" s="9"/>
      <c r="C4" s="9"/>
    </row>
    <row r="6" spans="1:3" x14ac:dyDescent="0.25">
      <c r="A6" s="1" t="s">
        <v>4</v>
      </c>
      <c r="B6" s="1" t="s">
        <v>5</v>
      </c>
      <c r="C6" s="1" t="s">
        <v>6</v>
      </c>
    </row>
    <row r="7" spans="1:3" x14ac:dyDescent="0.25">
      <c r="A7" s="4" t="s">
        <v>116</v>
      </c>
      <c r="B7" s="5"/>
      <c r="C7" s="5"/>
    </row>
    <row r="8" spans="1:3" x14ac:dyDescent="0.25">
      <c r="A8" s="2" t="s">
        <v>117</v>
      </c>
      <c r="B8" s="3">
        <f>Profit_Loss!B34</f>
        <v>-412373561</v>
      </c>
      <c r="C8" s="3">
        <f>Profit_Loss!C34</f>
        <v>-1856746555</v>
      </c>
    </row>
    <row r="9" spans="1:3" x14ac:dyDescent="0.25">
      <c r="A9" s="2" t="s">
        <v>118</v>
      </c>
      <c r="B9" s="3">
        <v>-29865365</v>
      </c>
      <c r="C9" s="3">
        <v>-216676991</v>
      </c>
    </row>
    <row r="10" spans="1:3" x14ac:dyDescent="0.25">
      <c r="A10" s="2" t="s">
        <v>119</v>
      </c>
      <c r="B10" s="3">
        <v>-359402016</v>
      </c>
      <c r="C10" s="3">
        <v>432372378</v>
      </c>
    </row>
    <row r="11" spans="1:3" x14ac:dyDescent="0.25">
      <c r="A11" s="6" t="s">
        <v>120</v>
      </c>
      <c r="B11" s="7">
        <f>SUM(B8:B10)</f>
        <v>-801640942</v>
      </c>
      <c r="C11" s="7">
        <f>SUM(C8:C10)</f>
        <v>-1641051168</v>
      </c>
    </row>
    <row r="12" spans="1:3" x14ac:dyDescent="0.25">
      <c r="A12" s="2" t="s">
        <v>121</v>
      </c>
      <c r="B12" s="3"/>
      <c r="C12" s="3"/>
    </row>
    <row r="13" spans="1:3" x14ac:dyDescent="0.25">
      <c r="A13" s="2" t="s">
        <v>122</v>
      </c>
      <c r="B13" s="3">
        <v>2218915703</v>
      </c>
      <c r="C13" s="3">
        <v>2173796818</v>
      </c>
    </row>
    <row r="14" spans="1:3" x14ac:dyDescent="0.25">
      <c r="A14" s="2" t="s">
        <v>123</v>
      </c>
      <c r="B14" s="3">
        <v>-64534009</v>
      </c>
      <c r="C14" s="3">
        <v>-37238112</v>
      </c>
    </row>
    <row r="15" spans="1:3" x14ac:dyDescent="0.25">
      <c r="A15" s="2" t="s">
        <v>124</v>
      </c>
      <c r="B15" s="3">
        <v>-7320000</v>
      </c>
      <c r="C15" s="3">
        <v>-16940000</v>
      </c>
    </row>
    <row r="16" spans="1:3" x14ac:dyDescent="0.25">
      <c r="A16" s="2" t="s">
        <v>56</v>
      </c>
      <c r="B16" s="3">
        <v>-126124351</v>
      </c>
      <c r="C16" s="3">
        <v>-33645676</v>
      </c>
    </row>
    <row r="17" spans="1:3" x14ac:dyDescent="0.25">
      <c r="A17" s="2" t="s">
        <v>57</v>
      </c>
      <c r="B17" s="3">
        <v>3595937735</v>
      </c>
      <c r="C17" s="3">
        <v>3349225757</v>
      </c>
    </row>
    <row r="18" spans="1:3" x14ac:dyDescent="0.25">
      <c r="A18" s="2" t="s">
        <v>58</v>
      </c>
      <c r="B18" s="3"/>
      <c r="C18" s="3"/>
    </row>
    <row r="19" spans="1:3" ht="30" x14ac:dyDescent="0.25">
      <c r="A19" s="6" t="s">
        <v>125</v>
      </c>
      <c r="B19" s="7">
        <f>SUM(B11:B17)</f>
        <v>4815234136</v>
      </c>
      <c r="C19" s="7">
        <f>SUM(C11:C17)</f>
        <v>3794147619</v>
      </c>
    </row>
    <row r="20" spans="1:3" x14ac:dyDescent="0.25">
      <c r="A20" s="2" t="s">
        <v>126</v>
      </c>
      <c r="B20" s="3"/>
      <c r="C20" s="3"/>
    </row>
    <row r="21" spans="1:3" x14ac:dyDescent="0.25">
      <c r="A21" s="2" t="s">
        <v>127</v>
      </c>
      <c r="B21" s="3">
        <v>371785976</v>
      </c>
      <c r="C21" s="3">
        <v>-53365358</v>
      </c>
    </row>
    <row r="22" spans="1:3" x14ac:dyDescent="0.25">
      <c r="A22" s="2" t="s">
        <v>128</v>
      </c>
      <c r="B22" s="3">
        <v>-237722867</v>
      </c>
      <c r="C22" s="3">
        <v>-170039252</v>
      </c>
    </row>
    <row r="23" spans="1:3" x14ac:dyDescent="0.25">
      <c r="A23" s="2" t="s">
        <v>129</v>
      </c>
      <c r="B23" s="3">
        <v>-1098105976</v>
      </c>
      <c r="C23" s="3">
        <v>-259994369</v>
      </c>
    </row>
    <row r="24" spans="1:3" x14ac:dyDescent="0.25">
      <c r="A24" s="2" t="s">
        <v>130</v>
      </c>
      <c r="B24" s="3">
        <v>-25181210</v>
      </c>
      <c r="C24" s="3">
        <v>-8538439</v>
      </c>
    </row>
    <row r="25" spans="1:3" x14ac:dyDescent="0.25">
      <c r="A25" s="2" t="s">
        <v>131</v>
      </c>
      <c r="B25" s="3">
        <v>418640776</v>
      </c>
      <c r="C25" s="3">
        <v>316087960</v>
      </c>
    </row>
    <row r="26" spans="1:3" x14ac:dyDescent="0.25">
      <c r="A26" s="2" t="s">
        <v>152</v>
      </c>
      <c r="B26" s="3">
        <v>-359524581</v>
      </c>
      <c r="C26" s="3">
        <v>847717538</v>
      </c>
    </row>
    <row r="27" spans="1:3" x14ac:dyDescent="0.25">
      <c r="A27" s="2" t="s">
        <v>132</v>
      </c>
      <c r="B27" s="3">
        <v>115995001</v>
      </c>
      <c r="C27" s="3">
        <v>-89198247</v>
      </c>
    </row>
    <row r="28" spans="1:3" x14ac:dyDescent="0.25">
      <c r="A28" s="2" t="s">
        <v>133</v>
      </c>
      <c r="B28" s="3">
        <v>-54562622</v>
      </c>
      <c r="C28" s="3">
        <v>25106831</v>
      </c>
    </row>
    <row r="29" spans="1:3" x14ac:dyDescent="0.25">
      <c r="A29" s="6" t="s">
        <v>153</v>
      </c>
      <c r="B29" s="7">
        <f>SUM(B19:B28)</f>
        <v>3946558633</v>
      </c>
      <c r="C29" s="7">
        <f>SUM(C19:C28)</f>
        <v>4401924283</v>
      </c>
    </row>
    <row r="30" spans="1:3" x14ac:dyDescent="0.25">
      <c r="A30" s="2" t="s">
        <v>134</v>
      </c>
      <c r="B30" s="3"/>
      <c r="C30" s="3"/>
    </row>
    <row r="31" spans="1:3" x14ac:dyDescent="0.25">
      <c r="A31" s="6" t="s">
        <v>154</v>
      </c>
      <c r="B31" s="7">
        <f>SUM(B29:B30)</f>
        <v>3946558633</v>
      </c>
      <c r="C31" s="7">
        <f>SUM(C29:C30)</f>
        <v>4401924283</v>
      </c>
    </row>
    <row r="32" spans="1:3" x14ac:dyDescent="0.25">
      <c r="A32" s="12"/>
      <c r="B32" s="13"/>
      <c r="C32" s="13"/>
    </row>
    <row r="33" spans="1:3" x14ac:dyDescent="0.25">
      <c r="A33" s="4" t="s">
        <v>135</v>
      </c>
      <c r="B33" s="5"/>
      <c r="C33" s="5"/>
    </row>
    <row r="34" spans="1:3" x14ac:dyDescent="0.25">
      <c r="A34" s="2" t="s">
        <v>56</v>
      </c>
      <c r="B34" s="3">
        <v>126124351</v>
      </c>
      <c r="C34" s="3">
        <v>33645676</v>
      </c>
    </row>
    <row r="35" spans="1:3" x14ac:dyDescent="0.25">
      <c r="A35" s="2" t="s">
        <v>123</v>
      </c>
      <c r="B35" s="3">
        <v>20667398</v>
      </c>
      <c r="C35" s="3">
        <v>0</v>
      </c>
    </row>
    <row r="36" spans="1:3" x14ac:dyDescent="0.25">
      <c r="A36" s="2" t="s">
        <v>136</v>
      </c>
      <c r="B36" s="3">
        <v>-516458434</v>
      </c>
      <c r="C36" s="3">
        <v>-313645443</v>
      </c>
    </row>
    <row r="37" spans="1:3" x14ac:dyDescent="0.25">
      <c r="A37" s="2" t="s">
        <v>137</v>
      </c>
      <c r="B37" s="3">
        <v>0</v>
      </c>
      <c r="C37" s="3">
        <v>0</v>
      </c>
    </row>
    <row r="38" spans="1:3" x14ac:dyDescent="0.25">
      <c r="A38" s="2" t="s">
        <v>138</v>
      </c>
      <c r="B38" s="3">
        <v>0</v>
      </c>
      <c r="C38" s="3">
        <v>0</v>
      </c>
    </row>
    <row r="39" spans="1:3" x14ac:dyDescent="0.25">
      <c r="A39" s="6" t="s">
        <v>155</v>
      </c>
      <c r="B39" s="7">
        <f>SUM(B34:B38)</f>
        <v>-369666685</v>
      </c>
      <c r="C39" s="7">
        <f>SUM(C34:C38)</f>
        <v>-279999767</v>
      </c>
    </row>
    <row r="40" spans="1:3" x14ac:dyDescent="0.25">
      <c r="A40" s="2"/>
      <c r="B40" s="3"/>
      <c r="C40" s="3"/>
    </row>
    <row r="41" spans="1:3" x14ac:dyDescent="0.25">
      <c r="A41" s="4" t="s">
        <v>139</v>
      </c>
      <c r="B41" s="5"/>
      <c r="C41" s="5"/>
    </row>
    <row r="42" spans="1:3" x14ac:dyDescent="0.25">
      <c r="A42" s="2" t="s">
        <v>140</v>
      </c>
      <c r="B42" s="3">
        <v>-2542491963</v>
      </c>
      <c r="C42" s="3">
        <v>-2434518286</v>
      </c>
    </row>
    <row r="43" spans="1:3" x14ac:dyDescent="0.25">
      <c r="A43" s="2" t="s">
        <v>141</v>
      </c>
      <c r="B43" s="3">
        <v>-354345368</v>
      </c>
      <c r="C43" s="3">
        <v>-870518052</v>
      </c>
    </row>
    <row r="44" spans="1:3" ht="30" x14ac:dyDescent="0.25">
      <c r="A44" s="2" t="s">
        <v>142</v>
      </c>
      <c r="B44" s="3">
        <v>111474520</v>
      </c>
      <c r="C44" s="3">
        <v>-480483125</v>
      </c>
    </row>
    <row r="45" spans="1:3" x14ac:dyDescent="0.25">
      <c r="A45" s="2" t="s">
        <v>143</v>
      </c>
      <c r="B45" s="3">
        <v>-205370</v>
      </c>
      <c r="C45" s="3">
        <v>-2348385</v>
      </c>
    </row>
    <row r="46" spans="1:3" x14ac:dyDescent="0.25">
      <c r="A46" s="6" t="s">
        <v>156</v>
      </c>
      <c r="B46" s="7">
        <f>SUM(B42:B45)</f>
        <v>-2785568181</v>
      </c>
      <c r="C46" s="7">
        <f>SUM(C42:C45)</f>
        <v>-3787867848</v>
      </c>
    </row>
    <row r="47" spans="1:3" x14ac:dyDescent="0.25">
      <c r="A47" s="12"/>
      <c r="B47" s="13"/>
      <c r="C47" s="13"/>
    </row>
    <row r="48" spans="1:3" ht="30" x14ac:dyDescent="0.25">
      <c r="A48" s="4" t="s">
        <v>144</v>
      </c>
      <c r="B48" s="5">
        <f>SUM(B31,B39,B46)</f>
        <v>791323767</v>
      </c>
      <c r="C48" s="5">
        <f>SUM(C31,C39,C46)</f>
        <v>334056668</v>
      </c>
    </row>
    <row r="49" spans="1:3" ht="30" x14ac:dyDescent="0.25">
      <c r="A49" s="2" t="s">
        <v>145</v>
      </c>
      <c r="B49" s="3">
        <v>887452254</v>
      </c>
      <c r="C49" s="3">
        <v>553395586</v>
      </c>
    </row>
    <row r="50" spans="1:3" x14ac:dyDescent="0.25">
      <c r="A50" s="6" t="s">
        <v>146</v>
      </c>
      <c r="B50" s="7">
        <f>SUM(B48:B49)</f>
        <v>1678776021</v>
      </c>
      <c r="C50" s="7">
        <f>SUM(C48:C49)</f>
        <v>887452254</v>
      </c>
    </row>
  </sheetData>
  <mergeCells count="4">
    <mergeCell ref="A1:C1"/>
    <mergeCell ref="A2:C2"/>
    <mergeCell ref="A3:C3"/>
    <mergeCell ref="A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Financial_Position</vt:lpstr>
      <vt:lpstr>Profit_Loss</vt:lpstr>
      <vt:lpstr>Comprehensive_Income</vt:lpstr>
      <vt:lpstr>Changes_Equity_PY</vt:lpstr>
      <vt:lpstr>Changes_Equity_CY</vt:lpstr>
      <vt:lpstr>Cash_Flows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Alexey m</cp:lastModifiedBy>
  <dcterms:modified xsi:type="dcterms:W3CDTF">2026-04-01T18:56:09Z</dcterms:modified>
</cp:coreProperties>
</file>